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Diseño de Tics\ANEXOS\"/>
    </mc:Choice>
  </mc:AlternateContent>
  <xr:revisionPtr revIDLastSave="0" documentId="8_{1371AF50-6D5F-4744-982D-EEC139A77C56}" xr6:coauthVersionLast="47" xr6:coauthVersionMax="47" xr10:uidLastSave="{00000000-0000-0000-0000-000000000000}"/>
  <bookViews>
    <workbookView xWindow="-120" yWindow="-120" windowWidth="20730" windowHeight="11040" activeTab="4" xr2:uid="{4EA6FC55-CD77-4053-A600-627075F256EC}"/>
  </bookViews>
  <sheets>
    <sheet name="N1" sheetId="1" r:id="rId1"/>
    <sheet name="N2" sheetId="2" r:id="rId2"/>
    <sheet name="N3" sheetId="4" r:id="rId3"/>
    <sheet name="N4" sheetId="5" r:id="rId4"/>
    <sheet name="Tot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E13" i="6"/>
  <c r="F13" i="6"/>
  <c r="G13" i="6"/>
  <c r="H13" i="6"/>
  <c r="I13" i="6"/>
  <c r="C13" i="6"/>
  <c r="I11" i="6"/>
  <c r="D12" i="6"/>
  <c r="E12" i="6"/>
  <c r="F12" i="6"/>
  <c r="G12" i="6"/>
  <c r="H12" i="6"/>
  <c r="I12" i="6"/>
  <c r="C12" i="6"/>
  <c r="D11" i="6"/>
  <c r="E11" i="6"/>
  <c r="F11" i="6"/>
  <c r="G11" i="6"/>
  <c r="H11" i="6"/>
  <c r="C11" i="6"/>
  <c r="D10" i="6"/>
  <c r="E10" i="6"/>
  <c r="F10" i="6"/>
  <c r="G10" i="6"/>
  <c r="H10" i="6"/>
  <c r="I10" i="6"/>
  <c r="C10" i="6"/>
  <c r="I6" i="6"/>
  <c r="D6" i="6"/>
  <c r="E6" i="6"/>
  <c r="F6" i="6"/>
  <c r="G6" i="6"/>
  <c r="H6" i="6"/>
  <c r="C6" i="6"/>
  <c r="D5" i="6"/>
  <c r="E5" i="6"/>
  <c r="F5" i="6"/>
  <c r="G5" i="6"/>
  <c r="H5" i="6"/>
  <c r="I5" i="6"/>
  <c r="C5" i="6"/>
  <c r="D4" i="6"/>
  <c r="E4" i="6"/>
  <c r="F4" i="6"/>
  <c r="G4" i="6"/>
  <c r="H4" i="6"/>
  <c r="I4" i="6"/>
  <c r="C4" i="6"/>
  <c r="D3" i="6"/>
  <c r="E3" i="6"/>
  <c r="F3" i="6"/>
  <c r="G3" i="6"/>
  <c r="H3" i="6"/>
  <c r="I3" i="6"/>
  <c r="C3" i="6"/>
  <c r="M15" i="2"/>
  <c r="N15" i="2"/>
  <c r="O15" i="2"/>
  <c r="P15" i="2"/>
  <c r="Q15" i="2"/>
  <c r="R15" i="2"/>
  <c r="L15" i="2"/>
  <c r="M15" i="5"/>
  <c r="N15" i="5"/>
  <c r="O15" i="5"/>
  <c r="P15" i="5"/>
  <c r="Q15" i="5"/>
  <c r="R15" i="5"/>
  <c r="L15" i="5"/>
  <c r="C15" i="5"/>
  <c r="D15" i="5"/>
  <c r="E15" i="5"/>
  <c r="F15" i="5"/>
  <c r="G15" i="5"/>
  <c r="H15" i="5"/>
  <c r="B15" i="5"/>
  <c r="M15" i="4"/>
  <c r="N15" i="4"/>
  <c r="O15" i="4"/>
  <c r="P15" i="4"/>
  <c r="Q15" i="4"/>
  <c r="R15" i="4"/>
  <c r="L15" i="4"/>
  <c r="C15" i="4"/>
  <c r="D15" i="4"/>
  <c r="E15" i="4"/>
  <c r="F15" i="4"/>
  <c r="G15" i="4"/>
  <c r="H15" i="4"/>
  <c r="B15" i="4"/>
  <c r="M16" i="1"/>
  <c r="N16" i="1"/>
  <c r="O16" i="1"/>
  <c r="P16" i="1"/>
  <c r="Q16" i="1"/>
  <c r="R16" i="1"/>
  <c r="L16" i="1"/>
  <c r="C15" i="2"/>
  <c r="D15" i="2"/>
  <c r="E15" i="2"/>
  <c r="F15" i="2"/>
  <c r="G15" i="2"/>
  <c r="H15" i="2"/>
  <c r="B15" i="2"/>
  <c r="C16" i="1"/>
  <c r="D16" i="1"/>
  <c r="E16" i="1"/>
  <c r="F16" i="1"/>
  <c r="G16" i="1"/>
  <c r="H16" i="1"/>
  <c r="B16" i="1"/>
</calcChain>
</file>

<file path=xl/sharedStrings.xml><?xml version="1.0" encoding="utf-8"?>
<sst xmlns="http://schemas.openxmlformats.org/spreadsheetml/2006/main" count="132" uniqueCount="23">
  <si>
    <t xml:space="preserve">Nivel de complejidad </t>
  </si>
  <si>
    <t>Declaracion de Variable</t>
  </si>
  <si>
    <t># prueba</t>
  </si>
  <si>
    <t>Modelo gpt-4o-mini</t>
  </si>
  <si>
    <t>llama3</t>
  </si>
  <si>
    <t>Tiempo de respuesta (ms)</t>
  </si>
  <si>
    <t>Tiempo Promedio (ms)</t>
  </si>
  <si>
    <t>Desviación estandar</t>
  </si>
  <si>
    <t>Logica condición</t>
  </si>
  <si>
    <t>Transpilación</t>
  </si>
  <si>
    <t>Contextualización</t>
  </si>
  <si>
    <t>Repetición while</t>
  </si>
  <si>
    <t>Repetición For</t>
  </si>
  <si>
    <t>Modelos</t>
  </si>
  <si>
    <t>deepseek-coder:1.3b</t>
  </si>
  <si>
    <t>gemma2:9b</t>
  </si>
  <si>
    <t>phi3.5:latest</t>
  </si>
  <si>
    <t>qwen2.5-coder:7b</t>
  </si>
  <si>
    <t>gemini-2.0-flash-lite</t>
  </si>
  <si>
    <t>Promedio Total de todos los modelos</t>
  </si>
  <si>
    <t>Nivel</t>
  </si>
  <si>
    <t>TRANSPILACIÓN</t>
  </si>
  <si>
    <t>CONTEXTUALIZACIÓN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</si>
</sst>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0" borderId="2" xfId="0" applyBorder="1"/>
    <xf numFmtId="0" fontId="1" fillId="0" borderId="0" xfId="0" applyFont="1"/>
    <xf numFmtId="0" fontId="1" fillId="5" borderId="1" xfId="0" applyFont="1" applyFill="1" applyBorder="1"/>
    <xf numFmtId="0" fontId="1" fillId="0" borderId="4" xfId="0" applyFont="1" applyBorder="1"/>
    <xf numFmtId="0" fontId="0" fillId="3" borderId="9" xfId="0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6" borderId="0" xfId="0" applyFill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164" fontId="0" fillId="0" borderId="1" xfId="0" applyNumberForma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E3FB-EA2B-4CE6-9E5E-C480E4C303ED}">
  <dimension ref="A2:R17"/>
  <sheetViews>
    <sheetView topLeftCell="I1" workbookViewId="0">
      <selection activeCell="L11" sqref="L11"/>
    </sheetView>
  </sheetViews>
  <sheetFormatPr baseColWidth="10" defaultRowHeight="15" x14ac:dyDescent="0.25"/>
  <cols>
    <col min="1" max="1" width="22.28515625" customWidth="1"/>
    <col min="2" max="7" width="22.7109375" customWidth="1"/>
    <col min="8" max="8" width="22.28515625" customWidth="1"/>
    <col min="9" max="9" width="22" customWidth="1"/>
    <col min="10" max="18" width="22.7109375" customWidth="1"/>
  </cols>
  <sheetData>
    <row r="2" spans="1:18" x14ac:dyDescent="0.25">
      <c r="A2" s="5" t="s">
        <v>9</v>
      </c>
      <c r="K2" s="5" t="s">
        <v>10</v>
      </c>
    </row>
    <row r="3" spans="1:18" x14ac:dyDescent="0.25">
      <c r="A3" s="3" t="s">
        <v>0</v>
      </c>
      <c r="B3" s="4" t="s">
        <v>1</v>
      </c>
      <c r="K3" s="3" t="s">
        <v>0</v>
      </c>
      <c r="L3" s="11" t="s">
        <v>1</v>
      </c>
    </row>
    <row r="4" spans="1:18" x14ac:dyDescent="0.25">
      <c r="A4" s="10"/>
      <c r="B4" s="31" t="s">
        <v>5</v>
      </c>
      <c r="C4" s="32"/>
      <c r="D4" s="32"/>
      <c r="E4" s="32"/>
      <c r="F4" s="32"/>
      <c r="G4" s="32"/>
      <c r="H4" s="32"/>
      <c r="K4" s="2"/>
      <c r="L4" s="15" t="s">
        <v>5</v>
      </c>
      <c r="M4" s="16"/>
      <c r="N4" s="16"/>
      <c r="O4" s="16"/>
      <c r="P4" s="16"/>
      <c r="Q4" s="16"/>
      <c r="R4" s="17"/>
    </row>
    <row r="5" spans="1:18" x14ac:dyDescent="0.25">
      <c r="A5" s="2" t="s">
        <v>2</v>
      </c>
      <c r="B5" s="12" t="s">
        <v>3</v>
      </c>
      <c r="C5" s="8" t="s">
        <v>18</v>
      </c>
      <c r="D5" s="8" t="s">
        <v>4</v>
      </c>
      <c r="E5" s="12" t="s">
        <v>14</v>
      </c>
      <c r="F5" s="12" t="s">
        <v>15</v>
      </c>
      <c r="G5" s="12" t="s">
        <v>16</v>
      </c>
      <c r="H5" s="12" t="s">
        <v>17</v>
      </c>
      <c r="K5" s="2" t="s">
        <v>2</v>
      </c>
      <c r="L5" s="2" t="s">
        <v>3</v>
      </c>
      <c r="M5" s="2" t="s">
        <v>18</v>
      </c>
      <c r="N5" s="2" t="s">
        <v>4</v>
      </c>
      <c r="O5" s="12" t="s">
        <v>14</v>
      </c>
      <c r="P5" s="12" t="s">
        <v>15</v>
      </c>
      <c r="Q5" s="12" t="s">
        <v>16</v>
      </c>
      <c r="R5" s="12" t="s">
        <v>17</v>
      </c>
    </row>
    <row r="6" spans="1:18" x14ac:dyDescent="0.25">
      <c r="A6" s="2">
        <v>1</v>
      </c>
      <c r="B6" s="18">
        <v>1.3958999999999999</v>
      </c>
      <c r="C6" s="14">
        <v>0.58220000000000005</v>
      </c>
      <c r="D6" s="19">
        <v>12.1683</v>
      </c>
      <c r="E6" s="20">
        <v>6.1169000000000002</v>
      </c>
      <c r="F6" s="22">
        <v>18.517700000000001</v>
      </c>
      <c r="G6" s="23">
        <v>31.106999999999999</v>
      </c>
      <c r="H6" s="24">
        <v>11.7098</v>
      </c>
      <c r="K6" s="2">
        <v>1</v>
      </c>
      <c r="L6" s="18">
        <v>2.6657000000000002</v>
      </c>
      <c r="M6" s="14">
        <v>0.91479999999999995</v>
      </c>
      <c r="N6" s="19">
        <v>16.347799999999999</v>
      </c>
      <c r="O6" s="20">
        <v>11.702500000000001</v>
      </c>
      <c r="P6" s="22">
        <v>22.126200000000001</v>
      </c>
      <c r="Q6" s="23">
        <v>18.3565</v>
      </c>
      <c r="R6" s="24">
        <v>14.5684</v>
      </c>
    </row>
    <row r="7" spans="1:18" x14ac:dyDescent="0.25">
      <c r="A7" s="2">
        <v>2</v>
      </c>
      <c r="B7" s="3">
        <v>1.7537</v>
      </c>
      <c r="C7" s="25">
        <v>0.78520000000000001</v>
      </c>
      <c r="D7" s="26">
        <v>10.7774</v>
      </c>
      <c r="E7" s="21">
        <v>7.7622</v>
      </c>
      <c r="F7" s="22">
        <v>15.7273</v>
      </c>
      <c r="G7" s="23">
        <v>8.0542999999999996</v>
      </c>
      <c r="H7" s="24">
        <v>11.888999999999999</v>
      </c>
      <c r="K7" s="2">
        <v>2</v>
      </c>
      <c r="L7" s="3">
        <v>2.1309</v>
      </c>
      <c r="M7" s="25">
        <v>1.0628</v>
      </c>
      <c r="N7" s="26">
        <v>28.8123</v>
      </c>
      <c r="O7" s="21">
        <v>5.3581000000000003</v>
      </c>
      <c r="P7" s="22">
        <v>22.593900000000001</v>
      </c>
      <c r="Q7" s="23">
        <v>15.788</v>
      </c>
      <c r="R7" s="24">
        <v>12.3467</v>
      </c>
    </row>
    <row r="8" spans="1:18" x14ac:dyDescent="0.25">
      <c r="A8" s="2">
        <v>3</v>
      </c>
      <c r="B8" s="3">
        <v>1.6329</v>
      </c>
      <c r="C8" s="25">
        <v>0.81230000000000002</v>
      </c>
      <c r="D8" s="26">
        <v>10.461399999999999</v>
      </c>
      <c r="E8" s="21">
        <v>6.7320000000000002</v>
      </c>
      <c r="F8" s="22">
        <v>16.7636</v>
      </c>
      <c r="G8" s="23">
        <v>8.2646999999999995</v>
      </c>
      <c r="H8" s="24">
        <v>12.000400000000001</v>
      </c>
      <c r="K8" s="2">
        <v>3</v>
      </c>
      <c r="L8" s="3">
        <v>1.8362000000000001</v>
      </c>
      <c r="M8" s="25">
        <v>0.89029999999999998</v>
      </c>
      <c r="N8" s="26">
        <v>20.354099999999999</v>
      </c>
      <c r="O8" s="21">
        <v>4.6100000000000003</v>
      </c>
      <c r="P8" s="22">
        <v>20.087399999999999</v>
      </c>
      <c r="Q8" s="23">
        <v>11.025399999999999</v>
      </c>
      <c r="R8" s="24">
        <v>14.6022</v>
      </c>
    </row>
    <row r="9" spans="1:18" x14ac:dyDescent="0.25">
      <c r="A9" s="2">
        <v>4</v>
      </c>
      <c r="B9" s="3">
        <v>3.1705999999999999</v>
      </c>
      <c r="C9" s="25">
        <v>0.76829999999999998</v>
      </c>
      <c r="D9" s="26">
        <v>10.579499999999999</v>
      </c>
      <c r="E9" s="21">
        <v>3.4081000000000001</v>
      </c>
      <c r="F9" s="22">
        <v>15.7682</v>
      </c>
      <c r="G9" s="23">
        <v>8.2361000000000004</v>
      </c>
      <c r="H9" s="24">
        <v>11.887499999999999</v>
      </c>
      <c r="K9" s="2">
        <v>4</v>
      </c>
      <c r="L9" s="3">
        <v>2.1244999999999998</v>
      </c>
      <c r="M9" s="25">
        <v>1.0209999999999999</v>
      </c>
      <c r="N9" s="26">
        <v>23.052800000000001</v>
      </c>
      <c r="O9" s="21">
        <v>3.97</v>
      </c>
      <c r="P9" s="22">
        <v>17.0608</v>
      </c>
      <c r="Q9" s="23">
        <v>18.421099999999999</v>
      </c>
      <c r="R9" s="24">
        <v>11.168799999999999</v>
      </c>
    </row>
    <row r="10" spans="1:18" x14ac:dyDescent="0.25">
      <c r="A10" s="2">
        <v>5</v>
      </c>
      <c r="B10" s="18">
        <v>1.7687999999999999</v>
      </c>
      <c r="C10" s="14">
        <v>0.61760000000000004</v>
      </c>
      <c r="D10" s="19">
        <v>10.3878</v>
      </c>
      <c r="E10" s="20">
        <v>7.2107000000000001</v>
      </c>
      <c r="F10" s="27">
        <v>15.561400000000001</v>
      </c>
      <c r="G10" s="28">
        <v>8.1740999999999993</v>
      </c>
      <c r="H10" s="29">
        <v>11.9781</v>
      </c>
      <c r="K10" s="2">
        <v>5</v>
      </c>
      <c r="L10" s="18">
        <v>2.6454</v>
      </c>
      <c r="M10" s="14">
        <v>0.15720000000000001</v>
      </c>
      <c r="N10" s="19">
        <v>22.156099999999999</v>
      </c>
      <c r="O10" s="20">
        <v>5.0918999999999999</v>
      </c>
      <c r="P10" s="27">
        <v>24.5625</v>
      </c>
      <c r="Q10" s="28">
        <v>14.880699999999999</v>
      </c>
      <c r="R10" s="29">
        <v>12.969099999999999</v>
      </c>
    </row>
    <row r="11" spans="1:18" x14ac:dyDescent="0.25">
      <c r="A11" s="2">
        <v>6</v>
      </c>
      <c r="B11" s="13"/>
      <c r="C11" s="13"/>
      <c r="D11" s="1"/>
      <c r="E11" s="13"/>
      <c r="F11" s="13"/>
      <c r="G11" s="13"/>
      <c r="H11" s="13"/>
      <c r="K11" s="2">
        <v>6</v>
      </c>
      <c r="L11" s="1"/>
      <c r="M11" s="1"/>
      <c r="N11" s="1"/>
      <c r="O11" s="1"/>
      <c r="P11" s="1"/>
      <c r="Q11" s="1"/>
      <c r="R11" s="1"/>
    </row>
    <row r="12" spans="1:18" x14ac:dyDescent="0.25">
      <c r="A12" s="2">
        <v>7</v>
      </c>
      <c r="B12" s="13"/>
      <c r="C12" s="13"/>
      <c r="D12" s="1"/>
      <c r="E12" s="13"/>
      <c r="F12" s="13"/>
      <c r="G12" s="13"/>
      <c r="H12" s="13"/>
      <c r="K12" s="2">
        <v>7</v>
      </c>
      <c r="L12" s="1"/>
      <c r="M12" s="1"/>
      <c r="N12" s="1"/>
      <c r="O12" s="1"/>
      <c r="P12" s="1"/>
      <c r="Q12" s="1"/>
      <c r="R12" s="1"/>
    </row>
    <row r="13" spans="1:18" x14ac:dyDescent="0.25">
      <c r="A13" s="2">
        <v>8</v>
      </c>
      <c r="B13" s="13"/>
      <c r="C13" s="13"/>
      <c r="D13" s="1"/>
      <c r="E13" s="13"/>
      <c r="F13" s="13"/>
      <c r="G13" s="13"/>
      <c r="H13" s="13"/>
      <c r="K13" s="2">
        <v>8</v>
      </c>
      <c r="L13" s="1"/>
      <c r="M13" s="1"/>
      <c r="N13" s="1"/>
      <c r="O13" s="1"/>
      <c r="P13" s="1"/>
      <c r="Q13" s="1"/>
      <c r="R13" s="1"/>
    </row>
    <row r="14" spans="1:18" x14ac:dyDescent="0.25">
      <c r="A14" s="2">
        <v>9</v>
      </c>
      <c r="B14" s="13"/>
      <c r="C14" s="13"/>
      <c r="D14" s="1"/>
      <c r="E14" s="13"/>
      <c r="F14" s="13"/>
      <c r="G14" s="13"/>
      <c r="H14" s="13"/>
      <c r="K14" s="2">
        <v>9</v>
      </c>
      <c r="L14" s="1"/>
      <c r="M14" s="1"/>
      <c r="N14" s="1"/>
      <c r="O14" s="1"/>
      <c r="P14" s="1"/>
      <c r="Q14" s="1"/>
      <c r="R14" s="1"/>
    </row>
    <row r="15" spans="1:18" x14ac:dyDescent="0.25">
      <c r="A15" s="2">
        <v>10</v>
      </c>
      <c r="B15" s="13"/>
      <c r="C15" s="13"/>
      <c r="D15" s="1"/>
      <c r="E15" s="13"/>
      <c r="F15" s="13"/>
      <c r="G15" s="13"/>
      <c r="H15" s="13"/>
      <c r="K15" s="2">
        <v>10</v>
      </c>
      <c r="L15" s="1"/>
      <c r="M15" s="1"/>
      <c r="N15" s="1"/>
      <c r="O15" s="1"/>
      <c r="P15" s="1"/>
      <c r="Q15" s="1"/>
      <c r="R15" s="1"/>
    </row>
    <row r="16" spans="1:18" x14ac:dyDescent="0.25">
      <c r="A16" s="9" t="s">
        <v>6</v>
      </c>
      <c r="B16" s="13">
        <f>AVERAGE(B6:B15)</f>
        <v>1.94438</v>
      </c>
      <c r="C16" s="13">
        <f t="shared" ref="C16:H16" si="0">AVERAGE(C6:C15)</f>
        <v>0.71311999999999998</v>
      </c>
      <c r="D16" s="13">
        <f t="shared" si="0"/>
        <v>10.874879999999999</v>
      </c>
      <c r="E16" s="13">
        <f t="shared" si="0"/>
        <v>6.2459800000000003</v>
      </c>
      <c r="F16" s="13">
        <f t="shared" si="0"/>
        <v>16.467640000000003</v>
      </c>
      <c r="G16" s="13">
        <f t="shared" si="0"/>
        <v>12.767239999999997</v>
      </c>
      <c r="H16" s="13">
        <f t="shared" si="0"/>
        <v>11.892959999999999</v>
      </c>
      <c r="K16" s="9" t="s">
        <v>6</v>
      </c>
      <c r="L16" s="1">
        <f>AVERAGE(L6:L14)</f>
        <v>2.2805399999999998</v>
      </c>
      <c r="M16" s="1">
        <f t="shared" ref="M16:R16" si="1">AVERAGE(M6:M14)</f>
        <v>0.80921999999999983</v>
      </c>
      <c r="N16" s="1">
        <f t="shared" si="1"/>
        <v>22.14462</v>
      </c>
      <c r="O16" s="1">
        <f t="shared" si="1"/>
        <v>6.1464999999999996</v>
      </c>
      <c r="P16" s="1">
        <f t="shared" si="1"/>
        <v>21.286160000000002</v>
      </c>
      <c r="Q16" s="1">
        <f t="shared" si="1"/>
        <v>15.69434</v>
      </c>
      <c r="R16" s="1">
        <f t="shared" si="1"/>
        <v>13.131040000000002</v>
      </c>
    </row>
    <row r="17" spans="1:18" x14ac:dyDescent="0.25">
      <c r="A17" s="9" t="s">
        <v>7</v>
      </c>
      <c r="B17" s="13"/>
      <c r="C17" s="13"/>
      <c r="D17" s="1"/>
      <c r="E17" s="13"/>
      <c r="F17" s="13"/>
      <c r="G17" s="13"/>
      <c r="H17" s="13"/>
      <c r="K17" s="9" t="s">
        <v>7</v>
      </c>
      <c r="L17" s="1"/>
      <c r="M17" s="1"/>
      <c r="N17" s="1"/>
      <c r="O17" s="1"/>
      <c r="P17" s="1"/>
      <c r="Q17" s="1"/>
      <c r="R17" s="1"/>
    </row>
  </sheetData>
  <mergeCells count="1">
    <mergeCell ref="B4:H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37CB-B9D6-4DC1-BE08-9692129C3A60}">
  <dimension ref="A1:R16"/>
  <sheetViews>
    <sheetView topLeftCell="K1" workbookViewId="0">
      <selection activeCell="C18" sqref="C18"/>
    </sheetView>
  </sheetViews>
  <sheetFormatPr baseColWidth="10" defaultRowHeight="15" x14ac:dyDescent="0.25"/>
  <cols>
    <col min="1" max="1" width="22" customWidth="1"/>
    <col min="2" max="7" width="22.7109375" customWidth="1"/>
    <col min="8" max="8" width="16" customWidth="1"/>
    <col min="9" max="9" width="18.42578125" customWidth="1"/>
    <col min="10" max="10" width="22.5703125" customWidth="1"/>
    <col min="11" max="18" width="22.7109375" customWidth="1"/>
  </cols>
  <sheetData>
    <row r="1" spans="1:18" x14ac:dyDescent="0.25">
      <c r="A1" s="6" t="s">
        <v>9</v>
      </c>
      <c r="K1" s="5" t="s">
        <v>10</v>
      </c>
    </row>
    <row r="2" spans="1:18" x14ac:dyDescent="0.25">
      <c r="A2" s="3" t="s">
        <v>0</v>
      </c>
      <c r="B2" s="4" t="s">
        <v>8</v>
      </c>
      <c r="K2" s="3" t="s">
        <v>0</v>
      </c>
      <c r="L2" s="11" t="s">
        <v>8</v>
      </c>
    </row>
    <row r="3" spans="1:18" x14ac:dyDescent="0.25">
      <c r="A3" s="2"/>
      <c r="B3" s="31" t="s">
        <v>5</v>
      </c>
      <c r="C3" s="32"/>
      <c r="D3" s="32"/>
      <c r="E3" s="32"/>
      <c r="F3" s="32"/>
      <c r="G3" s="32"/>
      <c r="H3" s="32"/>
      <c r="J3" s="8"/>
      <c r="K3" s="2"/>
      <c r="L3" s="31" t="s">
        <v>5</v>
      </c>
      <c r="M3" s="32"/>
      <c r="N3" s="32"/>
      <c r="O3" s="32"/>
      <c r="P3" s="32"/>
      <c r="Q3" s="32"/>
      <c r="R3" s="32"/>
    </row>
    <row r="4" spans="1:18" ht="30" x14ac:dyDescent="0.25">
      <c r="A4" s="2" t="s">
        <v>2</v>
      </c>
      <c r="B4" s="2" t="s">
        <v>3</v>
      </c>
      <c r="C4" s="2" t="s">
        <v>18</v>
      </c>
      <c r="D4" s="2" t="s">
        <v>4</v>
      </c>
      <c r="E4" s="12" t="s">
        <v>14</v>
      </c>
      <c r="F4" s="12" t="s">
        <v>15</v>
      </c>
      <c r="G4" s="12" t="s">
        <v>16</v>
      </c>
      <c r="H4" s="12" t="s">
        <v>17</v>
      </c>
      <c r="K4" s="2" t="s">
        <v>2</v>
      </c>
      <c r="L4" s="2" t="s">
        <v>3</v>
      </c>
      <c r="M4" s="2" t="s">
        <v>18</v>
      </c>
      <c r="N4" s="2" t="s">
        <v>4</v>
      </c>
      <c r="O4" s="12" t="s">
        <v>14</v>
      </c>
      <c r="P4" s="12" t="s">
        <v>15</v>
      </c>
      <c r="Q4" s="12" t="s">
        <v>16</v>
      </c>
      <c r="R4" s="12" t="s">
        <v>17</v>
      </c>
    </row>
    <row r="5" spans="1:18" x14ac:dyDescent="0.25">
      <c r="A5" s="2">
        <v>1</v>
      </c>
      <c r="B5" s="1">
        <v>2.1257000000000001</v>
      </c>
      <c r="C5" s="1">
        <v>0.7198</v>
      </c>
      <c r="D5" s="1">
        <v>7.0602</v>
      </c>
      <c r="E5" s="1">
        <v>55.9251</v>
      </c>
      <c r="F5" s="1">
        <v>19.114000000000001</v>
      </c>
      <c r="G5" s="1">
        <v>17.306999999999999</v>
      </c>
      <c r="H5" s="1">
        <v>9.4109999999999996</v>
      </c>
      <c r="K5" s="2">
        <v>1</v>
      </c>
      <c r="L5">
        <v>2.9939</v>
      </c>
      <c r="M5">
        <v>2.4190999999999998</v>
      </c>
      <c r="N5">
        <v>48.189599999999999</v>
      </c>
      <c r="O5" s="1">
        <v>4.0522999999999998</v>
      </c>
      <c r="P5" s="1">
        <v>25.467700000000001</v>
      </c>
      <c r="Q5" s="1">
        <v>17.0276</v>
      </c>
      <c r="R5" s="1">
        <v>15.1945</v>
      </c>
    </row>
    <row r="6" spans="1:18" x14ac:dyDescent="0.25">
      <c r="A6" s="2">
        <v>2</v>
      </c>
      <c r="B6" s="1">
        <v>2.1352000000000002</v>
      </c>
      <c r="C6" s="1">
        <v>0.72760000000000002</v>
      </c>
      <c r="D6" s="1">
        <v>8.2105999999999995</v>
      </c>
      <c r="E6" s="1">
        <v>2.8748999999999998</v>
      </c>
      <c r="F6" s="1">
        <v>15.691700000000001</v>
      </c>
      <c r="G6" s="1">
        <v>7.8861999999999997</v>
      </c>
      <c r="H6" s="1">
        <v>9.3221000000000007</v>
      </c>
      <c r="K6" s="2">
        <v>2</v>
      </c>
      <c r="L6" s="1">
        <v>2.181</v>
      </c>
      <c r="M6" s="1">
        <v>1.3419000000000001</v>
      </c>
      <c r="N6" s="1">
        <v>49.931899999999999</v>
      </c>
      <c r="O6" s="1">
        <v>7.9503000000000004</v>
      </c>
      <c r="P6" s="1">
        <v>26.159300000000002</v>
      </c>
      <c r="Q6" s="1">
        <v>18.9057</v>
      </c>
      <c r="R6" s="1">
        <v>25.3782</v>
      </c>
    </row>
    <row r="7" spans="1:18" x14ac:dyDescent="0.25">
      <c r="A7" s="2">
        <v>3</v>
      </c>
      <c r="B7" s="1">
        <v>1.1857</v>
      </c>
      <c r="C7" s="1">
        <v>0.68479999999999996</v>
      </c>
      <c r="D7" s="1">
        <v>8.0751000000000008</v>
      </c>
      <c r="E7" s="1">
        <v>14.697800000000001</v>
      </c>
      <c r="F7" s="1">
        <v>17.1417</v>
      </c>
      <c r="G7" s="1">
        <v>7.0377999999999998</v>
      </c>
      <c r="H7" s="1">
        <v>9.4656000000000002</v>
      </c>
      <c r="K7" s="2">
        <v>3</v>
      </c>
      <c r="L7" s="1">
        <v>1.8089999999999999</v>
      </c>
      <c r="M7" s="1">
        <v>1.0952999999999999</v>
      </c>
      <c r="N7" s="1">
        <v>46.139000000000003</v>
      </c>
      <c r="O7" s="1">
        <v>11.328099999999999</v>
      </c>
      <c r="P7" s="1">
        <v>25.917999999999999</v>
      </c>
      <c r="Q7" s="1">
        <v>18.009599999999999</v>
      </c>
      <c r="R7" s="1">
        <v>16.594000000000001</v>
      </c>
    </row>
    <row r="8" spans="1:18" x14ac:dyDescent="0.25">
      <c r="A8" s="2">
        <v>4</v>
      </c>
      <c r="B8" s="1">
        <v>1.1343000000000001</v>
      </c>
      <c r="C8" s="1">
        <v>0.74070000000000003</v>
      </c>
      <c r="D8" s="1">
        <v>6.9371999999999998</v>
      </c>
      <c r="E8" s="1">
        <v>7.4405999999999999</v>
      </c>
      <c r="F8" s="1">
        <v>18.002700000000001</v>
      </c>
      <c r="G8" s="1">
        <v>12.486800000000001</v>
      </c>
      <c r="H8" s="1">
        <v>9.3112999999999992</v>
      </c>
      <c r="K8" s="2">
        <v>4</v>
      </c>
      <c r="L8" s="1">
        <v>2.1711</v>
      </c>
      <c r="M8" s="1">
        <v>0.95079999999999998</v>
      </c>
      <c r="N8" s="1">
        <v>21.825099999999999</v>
      </c>
      <c r="O8" s="1">
        <v>4.8794000000000004</v>
      </c>
      <c r="P8" s="1">
        <v>23.4678</v>
      </c>
      <c r="Q8" s="1">
        <v>14.873100000000001</v>
      </c>
      <c r="R8" s="1">
        <v>10.248799999999999</v>
      </c>
    </row>
    <row r="9" spans="1:18" x14ac:dyDescent="0.25">
      <c r="A9" s="2">
        <v>5</v>
      </c>
      <c r="B9">
        <v>1.7356</v>
      </c>
      <c r="C9">
        <v>0.15329999999999999</v>
      </c>
      <c r="D9">
        <v>8.9144000000000005</v>
      </c>
      <c r="E9">
        <v>8.2134</v>
      </c>
      <c r="F9">
        <v>15.835100000000001</v>
      </c>
      <c r="G9">
        <v>7.0795000000000003</v>
      </c>
      <c r="H9">
        <v>9.2274999999999991</v>
      </c>
      <c r="K9" s="2">
        <v>5</v>
      </c>
      <c r="L9">
        <v>2.5413000000000001</v>
      </c>
      <c r="M9">
        <v>0.152</v>
      </c>
      <c r="N9">
        <v>25.1434</v>
      </c>
      <c r="O9">
        <v>5.2588999999999997</v>
      </c>
      <c r="P9">
        <v>24.948899999999998</v>
      </c>
      <c r="Q9">
        <v>14.447100000000001</v>
      </c>
      <c r="R9">
        <v>14.219099999999999</v>
      </c>
    </row>
    <row r="10" spans="1:18" x14ac:dyDescent="0.25">
      <c r="A10" s="2">
        <v>6</v>
      </c>
      <c r="B10" s="1"/>
      <c r="C10" s="7"/>
      <c r="D10" s="1"/>
      <c r="E10" s="1"/>
      <c r="F10" s="1"/>
      <c r="G10" s="1"/>
      <c r="H10" s="1"/>
      <c r="K10" s="2">
        <v>6</v>
      </c>
      <c r="L10" s="1"/>
      <c r="M10" s="1"/>
      <c r="N10" s="1"/>
      <c r="O10" s="1"/>
      <c r="P10" s="1"/>
      <c r="Q10" s="1"/>
      <c r="R10" s="1"/>
    </row>
    <row r="11" spans="1:18" x14ac:dyDescent="0.25">
      <c r="A11" s="2">
        <v>7</v>
      </c>
      <c r="B11" s="1"/>
      <c r="C11" s="7"/>
      <c r="D11" s="1"/>
      <c r="E11" s="1"/>
      <c r="F11" s="1"/>
      <c r="G11" s="1"/>
      <c r="H11" s="1"/>
      <c r="K11" s="2">
        <v>7</v>
      </c>
      <c r="L11" s="1"/>
      <c r="M11" s="1"/>
      <c r="N11" s="1"/>
      <c r="O11" s="1"/>
      <c r="P11" s="1"/>
      <c r="Q11" s="1"/>
      <c r="R11" s="1"/>
    </row>
    <row r="12" spans="1:18" x14ac:dyDescent="0.25">
      <c r="A12" s="2">
        <v>8</v>
      </c>
      <c r="B12" s="1"/>
      <c r="C12" s="7"/>
      <c r="D12" s="1"/>
      <c r="E12" s="1"/>
      <c r="F12" s="1"/>
      <c r="G12" s="1"/>
      <c r="H12" s="1"/>
      <c r="K12" s="2">
        <v>8</v>
      </c>
      <c r="L12" s="1"/>
      <c r="M12" s="1"/>
      <c r="N12" s="1"/>
      <c r="O12" s="1"/>
      <c r="P12" s="1"/>
      <c r="Q12" s="1"/>
      <c r="R12" s="1"/>
    </row>
    <row r="13" spans="1:18" x14ac:dyDescent="0.25">
      <c r="A13" s="2">
        <v>9</v>
      </c>
      <c r="B13" s="1"/>
      <c r="C13" s="7"/>
      <c r="D13" s="1"/>
      <c r="E13" s="1"/>
      <c r="F13" s="1"/>
      <c r="G13" s="1"/>
      <c r="H13" s="1"/>
      <c r="K13" s="2">
        <v>9</v>
      </c>
      <c r="L13" s="1"/>
      <c r="M13" s="1"/>
      <c r="N13" s="1"/>
      <c r="O13" s="1"/>
      <c r="P13" s="1"/>
      <c r="Q13" s="1"/>
      <c r="R13" s="1"/>
    </row>
    <row r="14" spans="1:18" x14ac:dyDescent="0.25">
      <c r="A14" s="2">
        <v>10</v>
      </c>
      <c r="B14" s="1"/>
      <c r="C14" s="7"/>
      <c r="D14" s="1"/>
      <c r="E14" s="1"/>
      <c r="F14" s="1"/>
      <c r="G14" s="1"/>
      <c r="H14" s="1"/>
      <c r="K14" s="2">
        <v>10</v>
      </c>
      <c r="L14" s="1"/>
      <c r="M14" s="1"/>
      <c r="N14" s="1"/>
      <c r="O14" s="1"/>
      <c r="P14" s="1"/>
      <c r="Q14" s="1"/>
      <c r="R14" s="1"/>
    </row>
    <row r="15" spans="1:18" x14ac:dyDescent="0.25">
      <c r="A15" s="9" t="s">
        <v>6</v>
      </c>
      <c r="B15" s="1">
        <f>AVERAGE(B5:B14)</f>
        <v>1.6633</v>
      </c>
      <c r="C15" s="1">
        <f t="shared" ref="C15:H15" si="0">AVERAGE(C5:C14)</f>
        <v>0.60524</v>
      </c>
      <c r="D15" s="1">
        <f t="shared" si="0"/>
        <v>7.839500000000001</v>
      </c>
      <c r="E15" s="1">
        <f t="shared" si="0"/>
        <v>17.830360000000002</v>
      </c>
      <c r="F15" s="1">
        <f t="shared" si="0"/>
        <v>17.157040000000002</v>
      </c>
      <c r="G15" s="1">
        <f t="shared" si="0"/>
        <v>10.35946</v>
      </c>
      <c r="H15" s="1">
        <f t="shared" si="0"/>
        <v>9.3475000000000001</v>
      </c>
      <c r="K15" s="9" t="s">
        <v>6</v>
      </c>
      <c r="L15" s="1">
        <f>AVERAGE(L5:L14)</f>
        <v>2.3392600000000003</v>
      </c>
      <c r="M15" s="1">
        <f t="shared" ref="M15:R15" si="1">AVERAGE(M5:M14)</f>
        <v>1.1918200000000001</v>
      </c>
      <c r="N15" s="1">
        <f t="shared" si="1"/>
        <v>38.245799999999996</v>
      </c>
      <c r="O15" s="1">
        <f t="shared" si="1"/>
        <v>6.6938000000000004</v>
      </c>
      <c r="P15" s="1">
        <f t="shared" si="1"/>
        <v>25.192339999999998</v>
      </c>
      <c r="Q15" s="1">
        <f t="shared" si="1"/>
        <v>16.652620000000002</v>
      </c>
      <c r="R15" s="1">
        <f t="shared" si="1"/>
        <v>16.326919999999998</v>
      </c>
    </row>
    <row r="16" spans="1:18" x14ac:dyDescent="0.25">
      <c r="A16" s="9" t="s">
        <v>7</v>
      </c>
      <c r="B16" s="1"/>
      <c r="C16" s="7"/>
      <c r="D16" s="1"/>
      <c r="E16" s="1"/>
      <c r="F16" s="1"/>
      <c r="G16" s="1"/>
      <c r="H16" s="1"/>
      <c r="K16" s="9" t="s">
        <v>7</v>
      </c>
      <c r="L16" s="1"/>
      <c r="M16" s="1"/>
      <c r="N16" s="1"/>
      <c r="O16" s="1"/>
      <c r="P16" s="1"/>
      <c r="Q16" s="1"/>
      <c r="R16" s="1"/>
    </row>
  </sheetData>
  <mergeCells count="2">
    <mergeCell ref="B3:H3"/>
    <mergeCell ref="L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A389-2618-4B7C-B076-C29FC904F51F}">
  <dimension ref="A1:R16"/>
  <sheetViews>
    <sheetView topLeftCell="J1" workbookViewId="0">
      <selection activeCell="R9" sqref="R9"/>
    </sheetView>
  </sheetViews>
  <sheetFormatPr baseColWidth="10" defaultRowHeight="15" x14ac:dyDescent="0.25"/>
  <cols>
    <col min="1" max="1" width="21.85546875" customWidth="1"/>
    <col min="2" max="7" width="22.7109375" customWidth="1"/>
    <col min="8" max="8" width="16" customWidth="1"/>
    <col min="9" max="9" width="18.42578125" customWidth="1"/>
    <col min="10" max="10" width="22.5703125" customWidth="1"/>
    <col min="11" max="11" width="21.42578125" customWidth="1"/>
    <col min="12" max="18" width="22.7109375" customWidth="1"/>
  </cols>
  <sheetData>
    <row r="1" spans="1:18" x14ac:dyDescent="0.25">
      <c r="A1" s="6" t="s">
        <v>9</v>
      </c>
      <c r="K1" s="5" t="s">
        <v>10</v>
      </c>
    </row>
    <row r="2" spans="1:18" x14ac:dyDescent="0.25">
      <c r="A2" s="3" t="s">
        <v>0</v>
      </c>
      <c r="B2" s="11" t="s">
        <v>11</v>
      </c>
      <c r="K2" s="3" t="s">
        <v>0</v>
      </c>
      <c r="L2" s="11" t="s">
        <v>11</v>
      </c>
    </row>
    <row r="3" spans="1:18" x14ac:dyDescent="0.25">
      <c r="A3" s="2"/>
      <c r="B3" s="31" t="s">
        <v>5</v>
      </c>
      <c r="C3" s="32"/>
      <c r="D3" s="32"/>
      <c r="E3" s="32"/>
      <c r="F3" s="32"/>
      <c r="G3" s="32"/>
      <c r="H3" s="32"/>
      <c r="J3" s="8"/>
      <c r="K3" s="2"/>
      <c r="L3" s="31" t="s">
        <v>5</v>
      </c>
      <c r="M3" s="32"/>
      <c r="N3" s="32"/>
      <c r="O3" s="32"/>
      <c r="P3" s="32"/>
      <c r="Q3" s="32"/>
      <c r="R3" s="32"/>
    </row>
    <row r="4" spans="1:18" ht="30" x14ac:dyDescent="0.25">
      <c r="A4" s="2" t="s">
        <v>2</v>
      </c>
      <c r="B4" s="2" t="s">
        <v>3</v>
      </c>
      <c r="C4" s="8" t="s">
        <v>18</v>
      </c>
      <c r="D4" s="8" t="s">
        <v>4</v>
      </c>
      <c r="E4" s="12" t="s">
        <v>14</v>
      </c>
      <c r="F4" s="12" t="s">
        <v>15</v>
      </c>
      <c r="G4" s="12" t="s">
        <v>16</v>
      </c>
      <c r="H4" s="12" t="s">
        <v>17</v>
      </c>
      <c r="K4" s="2" t="s">
        <v>2</v>
      </c>
      <c r="L4" s="2" t="s">
        <v>3</v>
      </c>
      <c r="M4" s="2" t="s">
        <v>18</v>
      </c>
      <c r="N4" s="2" t="s">
        <v>4</v>
      </c>
      <c r="O4" s="12" t="s">
        <v>14</v>
      </c>
      <c r="P4" s="12" t="s">
        <v>15</v>
      </c>
      <c r="Q4" s="12" t="s">
        <v>16</v>
      </c>
      <c r="R4" s="12" t="s">
        <v>17</v>
      </c>
    </row>
    <row r="5" spans="1:18" x14ac:dyDescent="0.25">
      <c r="A5" s="2">
        <v>1</v>
      </c>
      <c r="B5" s="18">
        <v>1.0900000000000001</v>
      </c>
      <c r="C5" s="14">
        <v>0.65849999999999997</v>
      </c>
      <c r="D5" s="19">
        <v>7.9059999999999997</v>
      </c>
      <c r="E5" s="21">
        <v>14.7172</v>
      </c>
      <c r="F5" s="22">
        <v>13.020200000000001</v>
      </c>
      <c r="G5" s="23">
        <v>6.2733999999999996</v>
      </c>
      <c r="H5" s="24">
        <v>8.1717999999999993</v>
      </c>
      <c r="K5" s="2">
        <v>1</v>
      </c>
      <c r="L5" s="18">
        <v>2.3540999999999999</v>
      </c>
      <c r="M5" s="14">
        <v>1.095</v>
      </c>
      <c r="N5" s="19">
        <v>20.732700000000001</v>
      </c>
      <c r="O5" s="21">
        <v>4.7975000000000003</v>
      </c>
      <c r="P5" s="22">
        <v>27.687899999999999</v>
      </c>
      <c r="Q5" s="23">
        <v>17.489999999999998</v>
      </c>
      <c r="R5" s="24">
        <v>18.153600000000001</v>
      </c>
    </row>
    <row r="6" spans="1:18" x14ac:dyDescent="0.25">
      <c r="A6" s="2">
        <v>2</v>
      </c>
      <c r="B6" s="3">
        <v>1.1012</v>
      </c>
      <c r="C6" s="25">
        <v>0.6573</v>
      </c>
      <c r="D6" s="26">
        <v>8.2474000000000007</v>
      </c>
      <c r="E6" s="21">
        <v>5.2853000000000003</v>
      </c>
      <c r="F6" s="22">
        <v>13.045199999999999</v>
      </c>
      <c r="G6" s="23">
        <v>7.1315999999999997</v>
      </c>
      <c r="H6" s="24">
        <v>8.1466999999999992</v>
      </c>
      <c r="K6" s="2">
        <v>2</v>
      </c>
      <c r="L6" s="3">
        <v>2.2862</v>
      </c>
      <c r="M6" s="25">
        <v>1.1796</v>
      </c>
      <c r="N6" s="26">
        <v>22.037099999999999</v>
      </c>
      <c r="O6" s="21">
        <v>3.8780000000000001</v>
      </c>
      <c r="P6" s="22">
        <v>23.6629</v>
      </c>
      <c r="Q6" s="23">
        <v>17.674600000000002</v>
      </c>
      <c r="R6" s="24">
        <v>17.1616</v>
      </c>
    </row>
    <row r="7" spans="1:18" x14ac:dyDescent="0.25">
      <c r="A7" s="2">
        <v>3</v>
      </c>
      <c r="B7" s="3">
        <v>1.1694</v>
      </c>
      <c r="C7" s="25">
        <v>0.62960000000000005</v>
      </c>
      <c r="D7" s="26">
        <v>9.1356999999999999</v>
      </c>
      <c r="E7" s="21">
        <v>10.0069</v>
      </c>
      <c r="F7" s="22">
        <v>12.9671</v>
      </c>
      <c r="G7" s="23">
        <v>5.9476000000000004</v>
      </c>
      <c r="H7" s="24">
        <v>8.2449999999999992</v>
      </c>
      <c r="K7" s="2">
        <v>3</v>
      </c>
      <c r="L7" s="3">
        <v>2.3336000000000001</v>
      </c>
      <c r="M7" s="25">
        <v>2.0857999999999999</v>
      </c>
      <c r="N7" s="26">
        <v>36.124600000000001</v>
      </c>
      <c r="O7" s="21">
        <v>4.4275000000000002</v>
      </c>
      <c r="P7" s="22">
        <v>24.488499999999998</v>
      </c>
      <c r="Q7" s="23">
        <v>19.728400000000001</v>
      </c>
      <c r="R7" s="24">
        <v>13.382400000000001</v>
      </c>
    </row>
    <row r="8" spans="1:18" x14ac:dyDescent="0.25">
      <c r="A8" s="2">
        <v>4</v>
      </c>
      <c r="B8" s="3">
        <v>1.8751</v>
      </c>
      <c r="C8" s="25">
        <v>0.62990000000000002</v>
      </c>
      <c r="D8" s="26">
        <v>7.8061999999999996</v>
      </c>
      <c r="E8" s="21">
        <v>10.1991</v>
      </c>
      <c r="F8" s="22">
        <v>13.1244</v>
      </c>
      <c r="G8" s="23">
        <v>5.9614000000000003</v>
      </c>
      <c r="H8" s="24">
        <v>8.4032999999999998</v>
      </c>
      <c r="K8" s="2">
        <v>4</v>
      </c>
      <c r="L8" s="3">
        <v>2.3645</v>
      </c>
      <c r="M8" s="25">
        <v>1.0427999999999999</v>
      </c>
      <c r="N8" s="26">
        <v>37.915599999999998</v>
      </c>
      <c r="O8" s="21">
        <v>4.9729000000000001</v>
      </c>
      <c r="P8" s="22">
        <v>25.014399999999998</v>
      </c>
      <c r="Q8" s="23">
        <v>22.292899999999999</v>
      </c>
      <c r="R8" s="24">
        <v>18.8231</v>
      </c>
    </row>
    <row r="9" spans="1:18" x14ac:dyDescent="0.25">
      <c r="A9" s="2">
        <v>5</v>
      </c>
      <c r="B9" s="18">
        <v>0.95799999999999996</v>
      </c>
      <c r="C9" s="14">
        <v>0.13900000000000001</v>
      </c>
      <c r="D9" s="19">
        <v>7.8360000000000003</v>
      </c>
      <c r="E9" s="20">
        <v>3.9799000000000002</v>
      </c>
      <c r="F9" s="27">
        <v>13.1616</v>
      </c>
      <c r="G9" s="28">
        <v>5.8539000000000003</v>
      </c>
      <c r="H9" s="29">
        <v>8.3143999999999991</v>
      </c>
      <c r="K9" s="2">
        <v>5</v>
      </c>
      <c r="L9" s="18">
        <v>2.4691000000000001</v>
      </c>
      <c r="M9" s="14">
        <v>0.15079999999999999</v>
      </c>
      <c r="N9" s="19">
        <v>20.605399999999999</v>
      </c>
      <c r="O9" s="20">
        <v>4.1925999999999997</v>
      </c>
      <c r="P9" s="27">
        <v>26.9711</v>
      </c>
      <c r="Q9" s="28">
        <v>30.151499999999999</v>
      </c>
      <c r="R9" s="29">
        <v>21.028700000000001</v>
      </c>
    </row>
    <row r="10" spans="1:18" x14ac:dyDescent="0.25">
      <c r="A10" s="2">
        <v>6</v>
      </c>
      <c r="B10" s="1"/>
      <c r="C10" s="1"/>
      <c r="D10" s="1"/>
      <c r="E10" s="1"/>
      <c r="F10" s="1"/>
      <c r="G10" s="1"/>
      <c r="H10" s="1"/>
      <c r="K10" s="2">
        <v>6</v>
      </c>
      <c r="L10" s="1"/>
      <c r="M10" s="1"/>
      <c r="N10" s="1"/>
      <c r="O10" s="1"/>
      <c r="P10" s="1"/>
      <c r="Q10" s="1"/>
      <c r="R10" s="1"/>
    </row>
    <row r="11" spans="1:18" x14ac:dyDescent="0.25">
      <c r="A11" s="2">
        <v>7</v>
      </c>
      <c r="B11" s="1"/>
      <c r="C11" s="1"/>
      <c r="D11" s="1"/>
      <c r="E11" s="1"/>
      <c r="F11" s="1"/>
      <c r="G11" s="1"/>
      <c r="H11" s="1"/>
      <c r="K11" s="2">
        <v>7</v>
      </c>
      <c r="L11" s="1"/>
      <c r="M11" s="1"/>
      <c r="N11" s="1"/>
      <c r="O11" s="1"/>
      <c r="P11" s="1"/>
      <c r="Q11" s="1"/>
      <c r="R11" s="1"/>
    </row>
    <row r="12" spans="1:18" x14ac:dyDescent="0.25">
      <c r="A12" s="2">
        <v>8</v>
      </c>
      <c r="B12" s="1"/>
      <c r="C12" s="1"/>
      <c r="D12" s="1"/>
      <c r="E12" s="1"/>
      <c r="F12" s="1"/>
      <c r="G12" s="1"/>
      <c r="H12" s="1"/>
      <c r="K12" s="2">
        <v>8</v>
      </c>
      <c r="L12" s="1"/>
      <c r="M12" s="1"/>
      <c r="N12" s="1"/>
      <c r="O12" s="1"/>
      <c r="P12" s="1"/>
      <c r="Q12" s="1"/>
      <c r="R12" s="1"/>
    </row>
    <row r="13" spans="1:18" x14ac:dyDescent="0.25">
      <c r="A13" s="2">
        <v>9</v>
      </c>
      <c r="B13" s="1"/>
      <c r="C13" s="1"/>
      <c r="D13" s="1"/>
      <c r="E13" s="1"/>
      <c r="F13" s="1"/>
      <c r="G13" s="1"/>
      <c r="H13" s="1"/>
      <c r="K13" s="2">
        <v>9</v>
      </c>
      <c r="L13" s="1"/>
      <c r="M13" s="1"/>
      <c r="N13" s="1"/>
      <c r="O13" s="1"/>
      <c r="P13" s="1"/>
      <c r="Q13" s="1"/>
      <c r="R13" s="1"/>
    </row>
    <row r="14" spans="1:18" x14ac:dyDescent="0.25">
      <c r="A14" s="2">
        <v>10</v>
      </c>
      <c r="B14" s="1"/>
      <c r="C14" s="1"/>
      <c r="D14" s="1"/>
      <c r="E14" s="1"/>
      <c r="F14" s="1"/>
      <c r="G14" s="1"/>
      <c r="H14" s="1"/>
      <c r="K14" s="2">
        <v>10</v>
      </c>
      <c r="L14" s="1"/>
      <c r="M14" s="1"/>
      <c r="N14" s="1"/>
      <c r="O14" s="1"/>
      <c r="P14" s="1"/>
      <c r="Q14" s="1"/>
      <c r="R14" s="1"/>
    </row>
    <row r="15" spans="1:18" x14ac:dyDescent="0.25">
      <c r="A15" s="9" t="s">
        <v>6</v>
      </c>
      <c r="B15" s="1">
        <f>AVERAGE(B5:B14)</f>
        <v>1.2387400000000002</v>
      </c>
      <c r="C15" s="1">
        <f t="shared" ref="C15:H15" si="0">AVERAGE(C5:C14)</f>
        <v>0.5428599999999999</v>
      </c>
      <c r="D15" s="1">
        <f t="shared" si="0"/>
        <v>8.1862600000000008</v>
      </c>
      <c r="E15" s="1">
        <f t="shared" si="0"/>
        <v>8.8376800000000006</v>
      </c>
      <c r="F15" s="1">
        <f t="shared" si="0"/>
        <v>13.063700000000001</v>
      </c>
      <c r="G15" s="1">
        <f t="shared" si="0"/>
        <v>6.2335799999999999</v>
      </c>
      <c r="H15" s="1">
        <f t="shared" si="0"/>
        <v>8.25624</v>
      </c>
      <c r="K15" s="9" t="s">
        <v>6</v>
      </c>
      <c r="L15" s="1">
        <f>AVERAGE(L5:L14)</f>
        <v>2.3615000000000004</v>
      </c>
      <c r="M15" s="1">
        <f t="shared" ref="M15:R15" si="1">AVERAGE(M5:M14)</f>
        <v>1.1108</v>
      </c>
      <c r="N15" s="1">
        <f t="shared" si="1"/>
        <v>27.483080000000001</v>
      </c>
      <c r="O15" s="1">
        <f t="shared" si="1"/>
        <v>4.4536999999999995</v>
      </c>
      <c r="P15" s="1">
        <f t="shared" si="1"/>
        <v>25.564959999999996</v>
      </c>
      <c r="Q15" s="1">
        <f t="shared" si="1"/>
        <v>21.467480000000002</v>
      </c>
      <c r="R15" s="1">
        <f t="shared" si="1"/>
        <v>17.709880000000002</v>
      </c>
    </row>
    <row r="16" spans="1:18" x14ac:dyDescent="0.25">
      <c r="A16" s="9" t="s">
        <v>7</v>
      </c>
      <c r="B16" s="1"/>
      <c r="C16" s="1"/>
      <c r="D16" s="1"/>
      <c r="E16" s="1"/>
      <c r="F16" s="1"/>
      <c r="G16" s="1"/>
      <c r="H16" s="1"/>
      <c r="K16" s="9" t="s">
        <v>7</v>
      </c>
      <c r="L16" s="1"/>
      <c r="M16" s="1"/>
      <c r="N16" s="1"/>
      <c r="O16" s="1"/>
      <c r="P16" s="1"/>
      <c r="Q16" s="1"/>
      <c r="R16" s="1"/>
    </row>
  </sheetData>
  <mergeCells count="2">
    <mergeCell ref="B3:H3"/>
    <mergeCell ref="L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9276-98AC-4993-87BF-49EEA89EF722}">
  <dimension ref="A1:R16"/>
  <sheetViews>
    <sheetView topLeftCell="J1" workbookViewId="0">
      <selection activeCell="B15" sqref="B15"/>
    </sheetView>
  </sheetViews>
  <sheetFormatPr baseColWidth="10" defaultRowHeight="15" x14ac:dyDescent="0.25"/>
  <cols>
    <col min="1" max="7" width="22.7109375" customWidth="1"/>
    <col min="8" max="8" width="16" customWidth="1"/>
    <col min="9" max="9" width="18.42578125" customWidth="1"/>
    <col min="10" max="10" width="22.5703125" customWidth="1"/>
    <col min="11" max="11" width="22.28515625" customWidth="1"/>
    <col min="12" max="18" width="22.7109375" customWidth="1"/>
  </cols>
  <sheetData>
    <row r="1" spans="1:18" x14ac:dyDescent="0.25">
      <c r="A1" s="6" t="s">
        <v>9</v>
      </c>
      <c r="K1" s="5" t="s">
        <v>10</v>
      </c>
    </row>
    <row r="2" spans="1:18" x14ac:dyDescent="0.25">
      <c r="A2" s="3" t="s">
        <v>0</v>
      </c>
      <c r="B2" s="11" t="s">
        <v>12</v>
      </c>
      <c r="K2" s="3" t="s">
        <v>0</v>
      </c>
      <c r="L2" s="11" t="s">
        <v>12</v>
      </c>
    </row>
    <row r="3" spans="1:18" x14ac:dyDescent="0.25">
      <c r="A3" s="2"/>
      <c r="B3" s="33" t="s">
        <v>5</v>
      </c>
      <c r="C3" s="33"/>
      <c r="D3" s="33"/>
      <c r="E3" s="33"/>
      <c r="F3" s="33"/>
      <c r="G3" s="33"/>
      <c r="H3" s="33"/>
      <c r="J3" s="8"/>
      <c r="K3" s="2"/>
      <c r="L3" s="31" t="s">
        <v>5</v>
      </c>
      <c r="M3" s="32"/>
      <c r="N3" s="32"/>
      <c r="O3" s="32"/>
      <c r="P3" s="32"/>
      <c r="Q3" s="32"/>
      <c r="R3" s="32"/>
    </row>
    <row r="4" spans="1:18" ht="30" x14ac:dyDescent="0.25">
      <c r="A4" s="2" t="s">
        <v>2</v>
      </c>
      <c r="B4" s="2" t="s">
        <v>3</v>
      </c>
      <c r="C4" s="2" t="s">
        <v>18</v>
      </c>
      <c r="D4" s="2" t="s">
        <v>4</v>
      </c>
      <c r="E4" s="12" t="s">
        <v>14</v>
      </c>
      <c r="F4" s="12" t="s">
        <v>15</v>
      </c>
      <c r="G4" s="12" t="s">
        <v>16</v>
      </c>
      <c r="H4" s="12" t="s">
        <v>17</v>
      </c>
      <c r="K4" s="2" t="s">
        <v>2</v>
      </c>
      <c r="L4" s="2" t="s">
        <v>3</v>
      </c>
      <c r="M4" s="2" t="s">
        <v>18</v>
      </c>
      <c r="N4" s="2" t="s">
        <v>4</v>
      </c>
      <c r="O4" s="12" t="s">
        <v>14</v>
      </c>
      <c r="P4" s="12" t="s">
        <v>15</v>
      </c>
      <c r="Q4" s="12" t="s">
        <v>16</v>
      </c>
      <c r="R4" s="12" t="s">
        <v>17</v>
      </c>
    </row>
    <row r="5" spans="1:18" x14ac:dyDescent="0.25">
      <c r="A5" s="2">
        <v>1</v>
      </c>
      <c r="B5" s="1">
        <v>2.0224000000000002</v>
      </c>
      <c r="C5" s="1">
        <v>0.56259999999999999</v>
      </c>
      <c r="D5">
        <v>9.5022000000000002</v>
      </c>
      <c r="E5" s="1">
        <v>33.036099999999998</v>
      </c>
      <c r="F5" s="1">
        <v>11.7346</v>
      </c>
      <c r="G5" s="1">
        <v>7.0087000000000002</v>
      </c>
      <c r="H5" s="1">
        <v>7.7087000000000003</v>
      </c>
      <c r="K5" s="2">
        <v>1</v>
      </c>
      <c r="L5">
        <v>3.5044</v>
      </c>
      <c r="M5">
        <v>1.1186</v>
      </c>
      <c r="N5">
        <v>34.637099999999997</v>
      </c>
      <c r="O5" s="1">
        <v>5.8479000000000001</v>
      </c>
      <c r="P5" s="1">
        <v>27.766200000000001</v>
      </c>
      <c r="Q5" s="1">
        <v>16.826499999999999</v>
      </c>
      <c r="R5" s="1">
        <v>16.4863</v>
      </c>
    </row>
    <row r="6" spans="1:18" x14ac:dyDescent="0.25">
      <c r="A6" s="2">
        <v>2</v>
      </c>
      <c r="B6" s="1">
        <v>0.8075</v>
      </c>
      <c r="C6" s="1">
        <v>0.56520000000000004</v>
      </c>
      <c r="D6" s="1">
        <v>7.4016000000000002</v>
      </c>
      <c r="E6" s="1">
        <v>35.701500000000003</v>
      </c>
      <c r="F6" s="1">
        <v>12.264900000000001</v>
      </c>
      <c r="G6" s="1">
        <v>6.7102000000000004</v>
      </c>
      <c r="H6" s="1">
        <v>7.6684999999999999</v>
      </c>
      <c r="K6" s="2">
        <v>2</v>
      </c>
      <c r="L6" s="1">
        <v>1.6504000000000001</v>
      </c>
      <c r="M6" s="1">
        <v>1.1055999999999999</v>
      </c>
      <c r="N6" s="1">
        <v>15.722300000000001</v>
      </c>
      <c r="O6" s="1">
        <v>8.4597999999999995</v>
      </c>
      <c r="P6" s="1">
        <v>22.64</v>
      </c>
      <c r="Q6" s="1">
        <v>20.486899999999999</v>
      </c>
      <c r="R6" s="1">
        <v>13.083600000000001</v>
      </c>
    </row>
    <row r="7" spans="1:18" x14ac:dyDescent="0.25">
      <c r="A7" s="2">
        <v>3</v>
      </c>
      <c r="B7" s="1">
        <v>1.4718</v>
      </c>
      <c r="C7" s="1">
        <v>0.62990000000000002</v>
      </c>
      <c r="D7" s="1">
        <v>7.3676000000000004</v>
      </c>
      <c r="E7" s="1">
        <v>6.5784000000000002</v>
      </c>
      <c r="F7" s="1">
        <v>14.518599999999999</v>
      </c>
      <c r="G7" s="1">
        <v>5.6379999999999999</v>
      </c>
      <c r="H7" s="1">
        <v>7.4562999999999997</v>
      </c>
      <c r="K7" s="2">
        <v>3</v>
      </c>
      <c r="L7" s="1">
        <v>3.4329000000000001</v>
      </c>
      <c r="M7" s="1">
        <v>2.0125999999999999</v>
      </c>
      <c r="N7" s="1">
        <v>22.418900000000001</v>
      </c>
      <c r="O7" s="1">
        <v>4.1814</v>
      </c>
      <c r="P7" s="1">
        <v>25.159600000000001</v>
      </c>
      <c r="Q7" s="1">
        <v>17.029499999999999</v>
      </c>
      <c r="R7" s="1">
        <v>20.8201</v>
      </c>
    </row>
    <row r="8" spans="1:18" x14ac:dyDescent="0.25">
      <c r="A8" s="2">
        <v>4</v>
      </c>
      <c r="B8" s="1">
        <v>1.605</v>
      </c>
      <c r="C8" s="1">
        <v>0.57440000000000002</v>
      </c>
      <c r="D8" s="1">
        <v>7.4885999999999999</v>
      </c>
      <c r="E8" s="1">
        <v>28.648900000000001</v>
      </c>
      <c r="F8" s="1">
        <v>12.467499999999999</v>
      </c>
      <c r="G8" s="1">
        <v>5.5675999999999997</v>
      </c>
      <c r="H8" s="1">
        <v>7.6704999999999997</v>
      </c>
      <c r="K8" s="2">
        <v>4</v>
      </c>
      <c r="L8" s="1">
        <v>1.9978</v>
      </c>
      <c r="M8" s="1">
        <v>1.8789</v>
      </c>
      <c r="N8" s="1">
        <v>19.280200000000001</v>
      </c>
      <c r="O8" s="1">
        <v>4.8794000000000004</v>
      </c>
      <c r="P8" s="1">
        <v>39.0197</v>
      </c>
      <c r="Q8" s="1">
        <v>15.9156</v>
      </c>
      <c r="R8" s="1">
        <v>17.145199999999999</v>
      </c>
    </row>
    <row r="9" spans="1:18" x14ac:dyDescent="0.25">
      <c r="A9" s="2">
        <v>5</v>
      </c>
      <c r="B9">
        <v>1.1206</v>
      </c>
      <c r="C9">
        <v>0.15090000000000001</v>
      </c>
      <c r="D9">
        <v>7.8193000000000001</v>
      </c>
      <c r="E9">
        <v>12.9833</v>
      </c>
      <c r="F9">
        <v>12.2437</v>
      </c>
      <c r="G9">
        <v>5.5430000000000001</v>
      </c>
      <c r="H9">
        <v>7.5948000000000002</v>
      </c>
      <c r="K9" s="2">
        <v>5</v>
      </c>
      <c r="L9">
        <v>1.9164000000000001</v>
      </c>
      <c r="M9">
        <v>0.14860000000000001</v>
      </c>
      <c r="N9">
        <v>39.022799999999997</v>
      </c>
      <c r="O9">
        <v>7.1577000000000002</v>
      </c>
      <c r="P9">
        <v>22.207999999999998</v>
      </c>
      <c r="Q9">
        <v>16.803899999999999</v>
      </c>
      <c r="R9">
        <v>13.658099999999999</v>
      </c>
    </row>
    <row r="10" spans="1:18" x14ac:dyDescent="0.25">
      <c r="A10" s="2">
        <v>6</v>
      </c>
      <c r="B10" s="1"/>
      <c r="C10" s="1"/>
      <c r="D10" s="1"/>
      <c r="E10" s="1"/>
      <c r="F10" s="1"/>
      <c r="G10" s="1"/>
      <c r="H10" s="1"/>
      <c r="K10" s="2">
        <v>6</v>
      </c>
      <c r="L10" s="1"/>
      <c r="M10" s="1"/>
      <c r="N10" s="1"/>
      <c r="O10" s="1"/>
      <c r="P10" s="1"/>
      <c r="Q10" s="1"/>
      <c r="R10" s="1"/>
    </row>
    <row r="11" spans="1:18" x14ac:dyDescent="0.25">
      <c r="A11" s="2">
        <v>7</v>
      </c>
      <c r="B11" s="1"/>
      <c r="C11" s="1"/>
      <c r="D11" s="1"/>
      <c r="E11" s="1"/>
      <c r="F11" s="1"/>
      <c r="G11" s="1"/>
      <c r="H11" s="1"/>
      <c r="K11" s="2">
        <v>7</v>
      </c>
      <c r="L11" s="1"/>
      <c r="M11" s="1"/>
      <c r="N11" s="1"/>
      <c r="O11" s="1"/>
      <c r="P11" s="1"/>
      <c r="Q11" s="1"/>
      <c r="R11" s="1"/>
    </row>
    <row r="12" spans="1:18" x14ac:dyDescent="0.25">
      <c r="A12" s="2">
        <v>8</v>
      </c>
      <c r="B12" s="1"/>
      <c r="C12" s="1"/>
      <c r="D12" s="1"/>
      <c r="E12" s="1"/>
      <c r="F12" s="1"/>
      <c r="G12" s="1"/>
      <c r="H12" s="1"/>
      <c r="K12" s="2">
        <v>8</v>
      </c>
      <c r="L12" s="1"/>
      <c r="M12" s="1"/>
      <c r="N12" s="1"/>
      <c r="O12" s="1"/>
      <c r="P12" s="1"/>
      <c r="Q12" s="1"/>
      <c r="R12" s="1"/>
    </row>
    <row r="13" spans="1:18" x14ac:dyDescent="0.25">
      <c r="A13" s="2">
        <v>9</v>
      </c>
      <c r="B13" s="1"/>
      <c r="C13" s="1"/>
      <c r="D13" s="1"/>
      <c r="E13" s="1"/>
      <c r="F13" s="1"/>
      <c r="G13" s="1"/>
      <c r="H13" s="1"/>
      <c r="K13" s="2">
        <v>9</v>
      </c>
      <c r="L13" s="1"/>
      <c r="M13" s="1"/>
      <c r="N13" s="1"/>
      <c r="O13" s="1"/>
      <c r="P13" s="1"/>
      <c r="Q13" s="1"/>
      <c r="R13" s="1"/>
    </row>
    <row r="14" spans="1:18" x14ac:dyDescent="0.25">
      <c r="A14" s="2">
        <v>10</v>
      </c>
      <c r="B14" s="1"/>
      <c r="C14" s="1"/>
      <c r="D14" s="1"/>
      <c r="E14" s="1"/>
      <c r="F14" s="1"/>
      <c r="G14" s="1"/>
      <c r="H14" s="1"/>
      <c r="K14" s="2">
        <v>10</v>
      </c>
      <c r="L14" s="1"/>
      <c r="M14" s="1"/>
      <c r="N14" s="1"/>
      <c r="O14" s="1"/>
      <c r="P14" s="1"/>
      <c r="Q14" s="1"/>
      <c r="R14" s="1"/>
    </row>
    <row r="15" spans="1:18" x14ac:dyDescent="0.25">
      <c r="A15" s="9" t="s">
        <v>6</v>
      </c>
      <c r="B15" s="1">
        <f>AVERAGE(B5:B14)</f>
        <v>1.4054600000000002</v>
      </c>
      <c r="C15" s="1">
        <f t="shared" ref="C15:H15" si="0">AVERAGE(C5:C14)</f>
        <v>0.4966000000000001</v>
      </c>
      <c r="D15" s="1">
        <f t="shared" si="0"/>
        <v>7.9158599999999995</v>
      </c>
      <c r="E15" s="1">
        <f t="shared" si="0"/>
        <v>23.38964</v>
      </c>
      <c r="F15" s="1">
        <f t="shared" si="0"/>
        <v>12.645860000000003</v>
      </c>
      <c r="G15" s="1">
        <f t="shared" si="0"/>
        <v>6.0935000000000006</v>
      </c>
      <c r="H15" s="1">
        <f t="shared" si="0"/>
        <v>7.6197600000000012</v>
      </c>
      <c r="K15" s="9" t="s">
        <v>6</v>
      </c>
      <c r="L15" s="1">
        <f>AVERAGE(L5:L14)</f>
        <v>2.5003799999999998</v>
      </c>
      <c r="M15" s="1">
        <f t="shared" ref="M15:R15" si="1">AVERAGE(M5:M14)</f>
        <v>1.2528599999999999</v>
      </c>
      <c r="N15" s="1">
        <f t="shared" si="1"/>
        <v>26.216259999999998</v>
      </c>
      <c r="O15" s="1">
        <f t="shared" si="1"/>
        <v>6.1052400000000002</v>
      </c>
      <c r="P15" s="1">
        <f t="shared" si="1"/>
        <v>27.358699999999999</v>
      </c>
      <c r="Q15" s="1">
        <f t="shared" si="1"/>
        <v>17.412479999999999</v>
      </c>
      <c r="R15" s="1">
        <f t="shared" si="1"/>
        <v>16.238660000000003</v>
      </c>
    </row>
    <row r="16" spans="1:18" x14ac:dyDescent="0.25">
      <c r="A16" s="9" t="s">
        <v>7</v>
      </c>
      <c r="B16" s="1"/>
      <c r="C16" s="1"/>
      <c r="D16" s="1"/>
      <c r="E16" s="1"/>
      <c r="F16" s="1"/>
      <c r="G16" s="1"/>
      <c r="H16" s="1"/>
      <c r="K16" s="9" t="s">
        <v>7</v>
      </c>
      <c r="L16" s="1"/>
      <c r="M16" s="1"/>
      <c r="N16" s="1"/>
      <c r="O16" s="1"/>
      <c r="P16" s="1"/>
      <c r="Q16" s="1"/>
      <c r="R16" s="1"/>
    </row>
  </sheetData>
  <mergeCells count="2">
    <mergeCell ref="B3:H3"/>
    <mergeCell ref="L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3143-FEB0-4B0A-B5F5-8EA20E93F9A3}">
  <dimension ref="A1:I13"/>
  <sheetViews>
    <sheetView tabSelected="1" workbookViewId="0">
      <selection activeCell="C18" sqref="C18"/>
    </sheetView>
  </sheetViews>
  <sheetFormatPr baseColWidth="10" defaultRowHeight="15" x14ac:dyDescent="0.25"/>
  <cols>
    <col min="1" max="1" width="35.140625" customWidth="1"/>
    <col min="3" max="9" width="15.7109375" customWidth="1"/>
  </cols>
  <sheetData>
    <row r="1" spans="1:9" x14ac:dyDescent="0.25">
      <c r="A1" s="8" t="s">
        <v>19</v>
      </c>
      <c r="C1" s="34" t="s">
        <v>13</v>
      </c>
      <c r="D1" s="34"/>
      <c r="E1" s="34"/>
      <c r="F1" s="34"/>
      <c r="G1" s="34"/>
      <c r="H1" s="34"/>
      <c r="I1" s="34"/>
    </row>
    <row r="2" spans="1:9" ht="30" x14ac:dyDescent="0.25">
      <c r="A2" s="3" t="s">
        <v>21</v>
      </c>
      <c r="B2" s="2" t="s">
        <v>20</v>
      </c>
      <c r="C2" s="2" t="s">
        <v>3</v>
      </c>
      <c r="D2" s="2" t="s">
        <v>18</v>
      </c>
      <c r="E2" s="2" t="s">
        <v>4</v>
      </c>
      <c r="F2" s="12" t="s">
        <v>14</v>
      </c>
      <c r="G2" s="12" t="s">
        <v>15</v>
      </c>
      <c r="H2" s="12" t="s">
        <v>16</v>
      </c>
      <c r="I2" s="12" t="s">
        <v>17</v>
      </c>
    </row>
    <row r="3" spans="1:9" x14ac:dyDescent="0.25">
      <c r="B3" s="1">
        <v>1</v>
      </c>
      <c r="C3" s="30">
        <f>'N1'!B16</f>
        <v>1.94438</v>
      </c>
      <c r="D3" s="30">
        <f>'N1'!C16</f>
        <v>0.71311999999999998</v>
      </c>
      <c r="E3" s="30">
        <f>'N1'!D16</f>
        <v>10.874879999999999</v>
      </c>
      <c r="F3" s="30">
        <f>'N1'!E16</f>
        <v>6.2459800000000003</v>
      </c>
      <c r="G3" s="30">
        <f>'N1'!F16</f>
        <v>16.467640000000003</v>
      </c>
      <c r="H3" s="30">
        <f>'N1'!G16</f>
        <v>12.767239999999997</v>
      </c>
      <c r="I3" s="30">
        <f>'N1'!H16</f>
        <v>11.892959999999999</v>
      </c>
    </row>
    <row r="4" spans="1:9" x14ac:dyDescent="0.25">
      <c r="B4" s="1">
        <v>2</v>
      </c>
      <c r="C4" s="30">
        <f>'N2'!B15</f>
        <v>1.6633</v>
      </c>
      <c r="D4" s="30">
        <f>'N2'!C15</f>
        <v>0.60524</v>
      </c>
      <c r="E4" s="30">
        <f>'N2'!D15</f>
        <v>7.839500000000001</v>
      </c>
      <c r="F4" s="30">
        <f>'N2'!E15</f>
        <v>17.830360000000002</v>
      </c>
      <c r="G4" s="30">
        <f>'N2'!F15</f>
        <v>17.157040000000002</v>
      </c>
      <c r="H4" s="30">
        <f>'N2'!G15</f>
        <v>10.35946</v>
      </c>
      <c r="I4" s="30">
        <f>'N2'!H15</f>
        <v>9.3475000000000001</v>
      </c>
    </row>
    <row r="5" spans="1:9" x14ac:dyDescent="0.25">
      <c r="B5" s="1">
        <v>3</v>
      </c>
      <c r="C5" s="30">
        <f>'N3'!B15</f>
        <v>1.2387400000000002</v>
      </c>
      <c r="D5" s="30">
        <f>'N3'!C15</f>
        <v>0.5428599999999999</v>
      </c>
      <c r="E5" s="30">
        <f>'N3'!D15</f>
        <v>8.1862600000000008</v>
      </c>
      <c r="F5" s="30">
        <f>'N3'!E15</f>
        <v>8.8376800000000006</v>
      </c>
      <c r="G5" s="30">
        <f>'N3'!F15</f>
        <v>13.063700000000001</v>
      </c>
      <c r="H5" s="30">
        <f>'N3'!G15</f>
        <v>6.2335799999999999</v>
      </c>
      <c r="I5" s="30">
        <f>'N3'!H15</f>
        <v>8.25624</v>
      </c>
    </row>
    <row r="6" spans="1:9" x14ac:dyDescent="0.25">
      <c r="B6" s="1">
        <v>4</v>
      </c>
      <c r="C6" s="30">
        <f>'N4'!B15</f>
        <v>1.4054600000000002</v>
      </c>
      <c r="D6" s="30">
        <f>'N4'!C15</f>
        <v>0.4966000000000001</v>
      </c>
      <c r="E6" s="30">
        <f>'N4'!D15</f>
        <v>7.9158599999999995</v>
      </c>
      <c r="F6" s="30">
        <f>'N4'!E15</f>
        <v>23.38964</v>
      </c>
      <c r="G6" s="30">
        <f>'N4'!F15</f>
        <v>12.645860000000003</v>
      </c>
      <c r="H6" s="30">
        <f>'N4'!G15</f>
        <v>6.0935000000000006</v>
      </c>
      <c r="I6" s="30">
        <f>'N4'!H15</f>
        <v>7.6197600000000012</v>
      </c>
    </row>
    <row r="9" spans="1:9" ht="30" x14ac:dyDescent="0.25">
      <c r="A9" s="3" t="s">
        <v>22</v>
      </c>
      <c r="B9" s="2" t="s">
        <v>20</v>
      </c>
      <c r="C9" s="2" t="s">
        <v>3</v>
      </c>
      <c r="D9" s="2" t="s">
        <v>18</v>
      </c>
      <c r="E9" s="2" t="s">
        <v>4</v>
      </c>
      <c r="F9" s="12" t="s">
        <v>14</v>
      </c>
      <c r="G9" s="12" t="s">
        <v>15</v>
      </c>
      <c r="H9" s="12" t="s">
        <v>16</v>
      </c>
      <c r="I9" s="12" t="s">
        <v>17</v>
      </c>
    </row>
    <row r="10" spans="1:9" x14ac:dyDescent="0.25">
      <c r="B10" s="1">
        <v>1</v>
      </c>
      <c r="C10" s="30">
        <f>'N1'!L16</f>
        <v>2.2805399999999998</v>
      </c>
      <c r="D10" s="30">
        <f>'N1'!M16</f>
        <v>0.80921999999999983</v>
      </c>
      <c r="E10" s="30">
        <f>'N1'!N16</f>
        <v>22.14462</v>
      </c>
      <c r="F10" s="30">
        <f>'N1'!O16</f>
        <v>6.1464999999999996</v>
      </c>
      <c r="G10" s="30">
        <f>'N1'!P16</f>
        <v>21.286160000000002</v>
      </c>
      <c r="H10" s="30">
        <f>'N1'!Q16</f>
        <v>15.69434</v>
      </c>
      <c r="I10" s="30">
        <f>'N1'!R16</f>
        <v>13.131040000000002</v>
      </c>
    </row>
    <row r="11" spans="1:9" x14ac:dyDescent="0.25">
      <c r="B11" s="1">
        <v>2</v>
      </c>
      <c r="C11" s="30">
        <f>'N2'!L15</f>
        <v>2.3392600000000003</v>
      </c>
      <c r="D11" s="30">
        <f>'N2'!M15</f>
        <v>1.1918200000000001</v>
      </c>
      <c r="E11" s="30">
        <f>'N2'!N15</f>
        <v>38.245799999999996</v>
      </c>
      <c r="F11" s="30">
        <f>'N2'!O15</f>
        <v>6.6938000000000004</v>
      </c>
      <c r="G11" s="30">
        <f>'N2'!P15</f>
        <v>25.192339999999998</v>
      </c>
      <c r="H11" s="30">
        <f>'N2'!Q15</f>
        <v>16.652620000000002</v>
      </c>
      <c r="I11" s="30">
        <f>'N2'!R15</f>
        <v>16.326919999999998</v>
      </c>
    </row>
    <row r="12" spans="1:9" x14ac:dyDescent="0.25">
      <c r="B12" s="1">
        <v>3</v>
      </c>
      <c r="C12" s="30">
        <f>'N3'!L15</f>
        <v>2.3615000000000004</v>
      </c>
      <c r="D12" s="30">
        <f>'N3'!M15</f>
        <v>1.1108</v>
      </c>
      <c r="E12" s="30">
        <f>'N3'!N15</f>
        <v>27.483080000000001</v>
      </c>
      <c r="F12" s="30">
        <f>'N3'!O15</f>
        <v>4.4536999999999995</v>
      </c>
      <c r="G12" s="30">
        <f>'N3'!P15</f>
        <v>25.564959999999996</v>
      </c>
      <c r="H12" s="30">
        <f>'N3'!Q15</f>
        <v>21.467480000000002</v>
      </c>
      <c r="I12" s="30">
        <f>'N3'!R15</f>
        <v>17.709880000000002</v>
      </c>
    </row>
    <row r="13" spans="1:9" x14ac:dyDescent="0.25">
      <c r="B13" s="1">
        <v>4</v>
      </c>
      <c r="C13" s="30">
        <f>'N4'!L15</f>
        <v>2.5003799999999998</v>
      </c>
      <c r="D13" s="30">
        <f>'N4'!M15</f>
        <v>1.2528599999999999</v>
      </c>
      <c r="E13" s="30">
        <f>'N4'!N15</f>
        <v>26.216259999999998</v>
      </c>
      <c r="F13" s="30">
        <f>'N4'!O15</f>
        <v>6.1052400000000002</v>
      </c>
      <c r="G13" s="30">
        <f>'N4'!P15</f>
        <v>27.358699999999999</v>
      </c>
      <c r="H13" s="30">
        <f>'N4'!Q15</f>
        <v>17.412479999999999</v>
      </c>
      <c r="I13" s="30">
        <f>'N4'!R15</f>
        <v>16.238660000000003</v>
      </c>
    </row>
  </sheetData>
  <mergeCells count="1">
    <mergeCell ref="C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5bc2f8-bdb1-4394-a915-b064010f0a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AC2FDC759CDD4A90429900B1B6F585" ma:contentTypeVersion="15" ma:contentTypeDescription="Crear nuevo documento." ma:contentTypeScope="" ma:versionID="32b7870d02875583ad3207b7f3f1dbe8">
  <xsd:schema xmlns:xsd="http://www.w3.org/2001/XMLSchema" xmlns:xs="http://www.w3.org/2001/XMLSchema" xmlns:p="http://schemas.microsoft.com/office/2006/metadata/properties" xmlns:ns3="225bc2f8-bdb1-4394-a915-b064010f0aa2" xmlns:ns4="603c0527-f966-4274-8677-990efa22e14b" targetNamespace="http://schemas.microsoft.com/office/2006/metadata/properties" ma:root="true" ma:fieldsID="997dcc394722436272f8717eca1e188d" ns3:_="" ns4:_="">
    <xsd:import namespace="225bc2f8-bdb1-4394-a915-b064010f0aa2"/>
    <xsd:import namespace="603c0527-f966-4274-8677-990efa22e1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bc2f8-bdb1-4394-a915-b064010f0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c0527-f966-4274-8677-990efa22e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BC1125-36FB-4455-B92A-BF66CEA633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BEF25D-C876-432A-8933-80F8379312EE}">
  <ds:schemaRefs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225bc2f8-bdb1-4394-a915-b064010f0aa2"/>
    <ds:schemaRef ds:uri="603c0527-f966-4274-8677-990efa22e14b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CADE85A-AC40-44FD-AFAD-32B071BEDF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bc2f8-bdb1-4394-a915-b064010f0aa2"/>
    <ds:schemaRef ds:uri="603c0527-f966-4274-8677-990efa22e1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N1</vt:lpstr>
      <vt:lpstr>N2</vt:lpstr>
      <vt:lpstr>N3</vt:lpstr>
      <vt:lpstr>N4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TAPIA CAIZA</dc:creator>
  <cp:lastModifiedBy>DANIEL ALEJANDRO TAPIA CAIZA</cp:lastModifiedBy>
  <dcterms:created xsi:type="dcterms:W3CDTF">2025-11-26T19:02:00Z</dcterms:created>
  <dcterms:modified xsi:type="dcterms:W3CDTF">2025-12-08T14:17:49Z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0x0101003AAC2FDC759CDD4A90429900B1B6F585</vt:lpwstr>
  </property>
</Properties>
</file>