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Diseño de Tics\ANEXOS\DATC_TIC_ANEXOS\"/>
    </mc:Choice>
  </mc:AlternateContent>
  <xr:revisionPtr revIDLastSave="0" documentId="13_ncr:1_{471B7F7B-53A2-4200-8044-BCA4A1B99B6C}" xr6:coauthVersionLast="47" xr6:coauthVersionMax="47" xr10:uidLastSave="{00000000-0000-0000-0000-000000000000}"/>
  <bookViews>
    <workbookView xWindow="-120" yWindow="-120" windowWidth="20730" windowHeight="11040" xr2:uid="{1DF7F976-0EFF-411A-B5D3-A2403426ACC5}"/>
  </bookViews>
  <sheets>
    <sheet name="Resultado logros" sheetId="1" r:id="rId1"/>
    <sheet name="SUS P1" sheetId="2" r:id="rId2"/>
    <sheet name="SUS P2" sheetId="3" r:id="rId3"/>
    <sheet name="SUS P3" sheetId="4" r:id="rId4"/>
    <sheet name="SUS P4" sheetId="5" r:id="rId5"/>
    <sheet name="SUS P5" sheetId="6" r:id="rId6"/>
    <sheet name="SUS Resultados finale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7" l="1"/>
  <c r="E7" i="1"/>
  <c r="D11" i="6"/>
  <c r="D11" i="5"/>
  <c r="D11" i="4"/>
  <c r="C7" i="1"/>
  <c r="D7" i="1"/>
  <c r="B7" i="1"/>
  <c r="D11" i="3"/>
  <c r="D11" i="2"/>
</calcChain>
</file>

<file path=xl/sharedStrings.xml><?xml version="1.0" encoding="utf-8"?>
<sst xmlns="http://schemas.openxmlformats.org/spreadsheetml/2006/main" count="61" uniqueCount="26">
  <si>
    <t>Participante</t>
  </si>
  <si>
    <t>P1</t>
  </si>
  <si>
    <t>P2</t>
  </si>
  <si>
    <t>P3</t>
  </si>
  <si>
    <t>P4</t>
  </si>
  <si>
    <t>P5</t>
  </si>
  <si>
    <t>% Autonomía</t>
  </si>
  <si>
    <t>LA</t>
  </si>
  <si>
    <t>LcA</t>
  </si>
  <si>
    <t xml:space="preserve">Módulo 1: </t>
  </si>
  <si>
    <t xml:space="preserve">Módulo 2: </t>
  </si>
  <si>
    <t xml:space="preserve">Módulo 3: </t>
  </si>
  <si>
    <t xml:space="preserve">Módulo 4: </t>
  </si>
  <si>
    <t>NL</t>
  </si>
  <si>
    <t xml:space="preserve">Pregunta </t>
  </si>
  <si>
    <t>Calificacion (1-5)</t>
  </si>
  <si>
    <t>Nota Final</t>
  </si>
  <si>
    <t>Grado A (Excelente)</t>
  </si>
  <si>
    <t>Promedio Global</t>
  </si>
  <si>
    <t>Excelente</t>
  </si>
  <si>
    <t xml:space="preserve">P5 </t>
  </si>
  <si>
    <t>Bueno</t>
  </si>
  <si>
    <t>Mejor Imaginable</t>
  </si>
  <si>
    <t xml:space="preserve">P1 </t>
  </si>
  <si>
    <t>Calificación (Adjetiva)</t>
  </si>
  <si>
    <t>Puntuación SUS (0-100)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</si>
</sst>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9" fontId="2" fillId="0" borderId="1" xfId="0" applyNumberFormat="1" applyFont="1" applyBorder="1" applyAlignment="1">
      <alignment horizontal="left" vertical="center" wrapText="1" indent="1" readingOrder="1"/>
    </xf>
    <xf numFmtId="0" fontId="0" fillId="0" borderId="2" xfId="0" applyBorder="1"/>
    <xf numFmtId="164" fontId="0" fillId="2" borderId="2" xfId="0" applyNumberFormat="1" applyFill="1" applyBorder="1"/>
    <xf numFmtId="0" fontId="3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7459-D0C9-49E0-8E4D-0859897FAF5F}">
  <dimension ref="A1:E7"/>
  <sheetViews>
    <sheetView tabSelected="1" workbookViewId="0">
      <selection activeCell="C9" sqref="C9"/>
    </sheetView>
  </sheetViews>
  <sheetFormatPr baseColWidth="10" defaultRowHeight="15" x14ac:dyDescent="0.25"/>
  <cols>
    <col min="1" max="1" width="20.7109375" customWidth="1"/>
    <col min="2" max="5" width="12.7109375" customWidth="1"/>
  </cols>
  <sheetData>
    <row r="1" spans="1:5" ht="30" customHeight="1" thickBot="1" x14ac:dyDescent="0.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ht="18.95" customHeight="1" thickBot="1" x14ac:dyDescent="0.3">
      <c r="A2" s="1" t="s">
        <v>1</v>
      </c>
      <c r="B2" s="2" t="s">
        <v>7</v>
      </c>
      <c r="C2" s="2" t="s">
        <v>7</v>
      </c>
      <c r="D2" s="2" t="s">
        <v>8</v>
      </c>
      <c r="E2" s="2" t="s">
        <v>8</v>
      </c>
    </row>
    <row r="3" spans="1:5" ht="18.95" customHeight="1" thickBot="1" x14ac:dyDescent="0.3">
      <c r="A3" s="1" t="s">
        <v>2</v>
      </c>
      <c r="B3" s="2" t="s">
        <v>7</v>
      </c>
      <c r="C3" s="2" t="s">
        <v>7</v>
      </c>
      <c r="D3" s="2" t="s">
        <v>7</v>
      </c>
      <c r="E3" s="2" t="s">
        <v>7</v>
      </c>
    </row>
    <row r="4" spans="1:5" ht="18.95" customHeight="1" thickBot="1" x14ac:dyDescent="0.3">
      <c r="A4" s="1" t="s">
        <v>3</v>
      </c>
      <c r="B4" s="2" t="s">
        <v>7</v>
      </c>
      <c r="C4" s="2" t="s">
        <v>8</v>
      </c>
      <c r="D4" s="2" t="s">
        <v>7</v>
      </c>
      <c r="E4" s="2" t="s">
        <v>7</v>
      </c>
    </row>
    <row r="5" spans="1:5" ht="18.95" customHeight="1" thickBot="1" x14ac:dyDescent="0.3">
      <c r="A5" s="1" t="s">
        <v>4</v>
      </c>
      <c r="B5" s="2" t="s">
        <v>7</v>
      </c>
      <c r="C5" s="2" t="s">
        <v>7</v>
      </c>
      <c r="D5" s="2" t="s">
        <v>7</v>
      </c>
      <c r="E5" s="2" t="s">
        <v>8</v>
      </c>
    </row>
    <row r="6" spans="1:5" ht="18.95" customHeight="1" thickBot="1" x14ac:dyDescent="0.3">
      <c r="A6" s="1" t="s">
        <v>5</v>
      </c>
      <c r="B6" s="2" t="s">
        <v>7</v>
      </c>
      <c r="C6" s="2" t="s">
        <v>7</v>
      </c>
      <c r="D6" s="2" t="s">
        <v>7</v>
      </c>
      <c r="E6" s="2" t="s">
        <v>13</v>
      </c>
    </row>
    <row r="7" spans="1:5" ht="30" customHeight="1" thickBot="1" x14ac:dyDescent="0.3">
      <c r="A7" s="1" t="s">
        <v>6</v>
      </c>
      <c r="B7" s="3">
        <f>COUNTIF(B2:B6, "LA") / 5</f>
        <v>1</v>
      </c>
      <c r="C7" s="3">
        <f t="shared" ref="C7:D7" si="0">COUNTIF(C2:C6, "LA") / 5</f>
        <v>0.8</v>
      </c>
      <c r="D7" s="3">
        <f t="shared" si="0"/>
        <v>0.8</v>
      </c>
      <c r="E7" s="3">
        <f>COUNTIF(E2:E6, "LA") / 5</f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FB262-EB91-4176-95F2-066940EBA3AD}">
  <dimension ref="A1:D11"/>
  <sheetViews>
    <sheetView workbookViewId="0">
      <selection activeCell="B5" sqref="B5"/>
    </sheetView>
  </sheetViews>
  <sheetFormatPr baseColWidth="10" defaultRowHeight="15" x14ac:dyDescent="0.25"/>
  <cols>
    <col min="1" max="1" width="14.5703125" customWidth="1"/>
    <col min="2" max="2" width="16.140625" customWidth="1"/>
  </cols>
  <sheetData>
    <row r="1" spans="1:4" x14ac:dyDescent="0.25">
      <c r="A1" s="4" t="s">
        <v>14</v>
      </c>
      <c r="B1" s="4" t="s">
        <v>15</v>
      </c>
    </row>
    <row r="2" spans="1:4" x14ac:dyDescent="0.25">
      <c r="A2" s="4">
        <v>1</v>
      </c>
      <c r="B2" s="4">
        <v>5</v>
      </c>
    </row>
    <row r="3" spans="1:4" x14ac:dyDescent="0.25">
      <c r="A3" s="4">
        <v>2</v>
      </c>
      <c r="B3" s="4">
        <v>3</v>
      </c>
    </row>
    <row r="4" spans="1:4" x14ac:dyDescent="0.25">
      <c r="A4" s="4">
        <v>3</v>
      </c>
      <c r="B4" s="4">
        <v>3</v>
      </c>
    </row>
    <row r="5" spans="1:4" x14ac:dyDescent="0.25">
      <c r="A5" s="4">
        <v>4</v>
      </c>
      <c r="B5" s="4">
        <v>3</v>
      </c>
    </row>
    <row r="6" spans="1:4" x14ac:dyDescent="0.25">
      <c r="A6" s="4">
        <v>5</v>
      </c>
      <c r="B6" s="4">
        <v>5</v>
      </c>
    </row>
    <row r="7" spans="1:4" x14ac:dyDescent="0.25">
      <c r="A7" s="4">
        <v>6</v>
      </c>
      <c r="B7" s="4">
        <v>1</v>
      </c>
    </row>
    <row r="8" spans="1:4" x14ac:dyDescent="0.25">
      <c r="A8" s="4">
        <v>7</v>
      </c>
      <c r="B8" s="4">
        <v>4</v>
      </c>
    </row>
    <row r="9" spans="1:4" x14ac:dyDescent="0.25">
      <c r="A9" s="4">
        <v>8</v>
      </c>
      <c r="B9" s="4">
        <v>2</v>
      </c>
    </row>
    <row r="10" spans="1:4" x14ac:dyDescent="0.25">
      <c r="A10" s="4">
        <v>9</v>
      </c>
      <c r="B10" s="4">
        <v>4</v>
      </c>
    </row>
    <row r="11" spans="1:4" x14ac:dyDescent="0.25">
      <c r="A11" s="4">
        <v>10</v>
      </c>
      <c r="B11" s="4">
        <v>5</v>
      </c>
      <c r="C11" s="4" t="s">
        <v>16</v>
      </c>
      <c r="D11" s="5">
        <f>((SUM(B2,B4,B6,B8,B10)-5)+(25-SUM(B3,B5,B7,B9,B11)))*2.5</f>
        <v>67.5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CE1D-3710-4F16-BFA0-D2CF9468A1B7}">
  <dimension ref="A1:D11"/>
  <sheetViews>
    <sheetView workbookViewId="0">
      <selection activeCell="F12" sqref="F12"/>
    </sheetView>
  </sheetViews>
  <sheetFormatPr baseColWidth="10" defaultRowHeight="15" x14ac:dyDescent="0.25"/>
  <cols>
    <col min="2" max="2" width="17.28515625" customWidth="1"/>
  </cols>
  <sheetData>
    <row r="1" spans="1:4" x14ac:dyDescent="0.25">
      <c r="A1" s="4" t="s">
        <v>14</v>
      </c>
      <c r="B1" s="4" t="s">
        <v>15</v>
      </c>
    </row>
    <row r="2" spans="1:4" x14ac:dyDescent="0.25">
      <c r="A2" s="4">
        <v>1</v>
      </c>
      <c r="B2" s="4">
        <v>5</v>
      </c>
    </row>
    <row r="3" spans="1:4" x14ac:dyDescent="0.25">
      <c r="A3" s="4">
        <v>2</v>
      </c>
      <c r="B3" s="4">
        <v>1</v>
      </c>
    </row>
    <row r="4" spans="1:4" x14ac:dyDescent="0.25">
      <c r="A4" s="4">
        <v>3</v>
      </c>
      <c r="B4" s="4">
        <v>5</v>
      </c>
    </row>
    <row r="5" spans="1:4" x14ac:dyDescent="0.25">
      <c r="A5" s="4">
        <v>4</v>
      </c>
      <c r="B5" s="4">
        <v>4</v>
      </c>
    </row>
    <row r="6" spans="1:4" x14ac:dyDescent="0.25">
      <c r="A6" s="4">
        <v>5</v>
      </c>
      <c r="B6" s="4">
        <v>5</v>
      </c>
    </row>
    <row r="7" spans="1:4" x14ac:dyDescent="0.25">
      <c r="A7" s="4">
        <v>6</v>
      </c>
      <c r="B7" s="4">
        <v>5</v>
      </c>
    </row>
    <row r="8" spans="1:4" x14ac:dyDescent="0.25">
      <c r="A8" s="4">
        <v>7</v>
      </c>
      <c r="B8" s="4">
        <v>5</v>
      </c>
    </row>
    <row r="9" spans="1:4" x14ac:dyDescent="0.25">
      <c r="A9" s="4">
        <v>8</v>
      </c>
      <c r="B9" s="4">
        <v>1</v>
      </c>
    </row>
    <row r="10" spans="1:4" x14ac:dyDescent="0.25">
      <c r="A10" s="4">
        <v>9</v>
      </c>
      <c r="B10" s="4">
        <v>5</v>
      </c>
    </row>
    <row r="11" spans="1:4" x14ac:dyDescent="0.25">
      <c r="A11" s="4">
        <v>10</v>
      </c>
      <c r="B11" s="4">
        <v>2</v>
      </c>
      <c r="C11" s="4" t="s">
        <v>16</v>
      </c>
      <c r="D11" s="5">
        <f>((SUM(B2,B4,B6,B8,B10)-5)+(25-SUM(B3,B5,B7,B9,B11)))*2.5</f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DFF-E705-49A4-A07A-EFE8A7F30ACB}">
  <dimension ref="A1:D11"/>
  <sheetViews>
    <sheetView workbookViewId="0">
      <selection activeCell="B10" sqref="B10"/>
    </sheetView>
  </sheetViews>
  <sheetFormatPr baseColWidth="10" defaultRowHeight="15" x14ac:dyDescent="0.25"/>
  <sheetData>
    <row r="1" spans="1:4" x14ac:dyDescent="0.25">
      <c r="A1" s="4" t="s">
        <v>14</v>
      </c>
      <c r="B1" s="4" t="s">
        <v>15</v>
      </c>
    </row>
    <row r="2" spans="1:4" x14ac:dyDescent="0.25">
      <c r="A2" s="4">
        <v>1</v>
      </c>
      <c r="B2" s="4">
        <v>5</v>
      </c>
    </row>
    <row r="3" spans="1:4" x14ac:dyDescent="0.25">
      <c r="A3" s="4">
        <v>2</v>
      </c>
      <c r="B3" s="4">
        <v>2</v>
      </c>
    </row>
    <row r="4" spans="1:4" x14ac:dyDescent="0.25">
      <c r="A4" s="4">
        <v>3</v>
      </c>
      <c r="B4" s="4">
        <v>4</v>
      </c>
    </row>
    <row r="5" spans="1:4" x14ac:dyDescent="0.25">
      <c r="A5" s="4">
        <v>4</v>
      </c>
      <c r="B5" s="4">
        <v>2</v>
      </c>
    </row>
    <row r="6" spans="1:4" x14ac:dyDescent="0.25">
      <c r="A6" s="4">
        <v>5</v>
      </c>
      <c r="B6" s="4">
        <v>5</v>
      </c>
    </row>
    <row r="7" spans="1:4" x14ac:dyDescent="0.25">
      <c r="A7" s="4">
        <v>6</v>
      </c>
      <c r="B7" s="4">
        <v>3</v>
      </c>
    </row>
    <row r="8" spans="1:4" x14ac:dyDescent="0.25">
      <c r="A8" s="4">
        <v>7</v>
      </c>
      <c r="B8" s="4">
        <v>4</v>
      </c>
    </row>
    <row r="9" spans="1:4" x14ac:dyDescent="0.25">
      <c r="A9" s="4">
        <v>8</v>
      </c>
      <c r="B9" s="4">
        <v>3</v>
      </c>
    </row>
    <row r="10" spans="1:4" x14ac:dyDescent="0.25">
      <c r="A10" s="4">
        <v>9</v>
      </c>
      <c r="B10" s="4">
        <v>4</v>
      </c>
    </row>
    <row r="11" spans="1:4" x14ac:dyDescent="0.25">
      <c r="A11" s="4">
        <v>10</v>
      </c>
      <c r="B11" s="4">
        <v>3</v>
      </c>
      <c r="C11" s="4" t="s">
        <v>16</v>
      </c>
      <c r="D11" s="5">
        <f>((SUM(B2,B4,B6,B8,B10)-5)+(25-SUM(B3,B5,B7,B9,B11)))*2.5</f>
        <v>72.5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288C-EEBD-46D7-8952-0E8BB070BECC}">
  <dimension ref="A1:D11"/>
  <sheetViews>
    <sheetView workbookViewId="0">
      <selection activeCell="G7" sqref="G7"/>
    </sheetView>
  </sheetViews>
  <sheetFormatPr baseColWidth="10" defaultRowHeight="15" x14ac:dyDescent="0.25"/>
  <sheetData>
    <row r="1" spans="1:4" x14ac:dyDescent="0.25">
      <c r="A1" s="4" t="s">
        <v>14</v>
      </c>
      <c r="B1" s="4" t="s">
        <v>15</v>
      </c>
    </row>
    <row r="2" spans="1:4" x14ac:dyDescent="0.25">
      <c r="A2" s="4">
        <v>1</v>
      </c>
      <c r="B2" s="4">
        <v>5</v>
      </c>
    </row>
    <row r="3" spans="1:4" x14ac:dyDescent="0.25">
      <c r="A3" s="4">
        <v>2</v>
      </c>
      <c r="B3" s="4">
        <v>2</v>
      </c>
    </row>
    <row r="4" spans="1:4" x14ac:dyDescent="0.25">
      <c r="A4" s="4">
        <v>3</v>
      </c>
      <c r="B4" s="4">
        <v>4</v>
      </c>
    </row>
    <row r="5" spans="1:4" x14ac:dyDescent="0.25">
      <c r="A5" s="4">
        <v>4</v>
      </c>
      <c r="B5" s="4">
        <v>3</v>
      </c>
    </row>
    <row r="6" spans="1:4" x14ac:dyDescent="0.25">
      <c r="A6" s="4">
        <v>5</v>
      </c>
      <c r="B6" s="4">
        <v>5</v>
      </c>
    </row>
    <row r="7" spans="1:4" x14ac:dyDescent="0.25">
      <c r="A7" s="4">
        <v>6</v>
      </c>
      <c r="B7" s="4">
        <v>4</v>
      </c>
    </row>
    <row r="8" spans="1:4" x14ac:dyDescent="0.25">
      <c r="A8" s="4">
        <v>7</v>
      </c>
      <c r="B8" s="4">
        <v>4</v>
      </c>
    </row>
    <row r="9" spans="1:4" x14ac:dyDescent="0.25">
      <c r="A9" s="4">
        <v>8</v>
      </c>
      <c r="B9" s="4">
        <v>2</v>
      </c>
    </row>
    <row r="10" spans="1:4" x14ac:dyDescent="0.25">
      <c r="A10" s="4">
        <v>9</v>
      </c>
      <c r="B10" s="4">
        <v>4</v>
      </c>
    </row>
    <row r="11" spans="1:4" x14ac:dyDescent="0.25">
      <c r="A11" s="4">
        <v>10</v>
      </c>
      <c r="B11" s="4">
        <v>3</v>
      </c>
      <c r="C11" s="4" t="s">
        <v>16</v>
      </c>
      <c r="D11" s="5">
        <f>((SUM(B2,B4,B6,B8,B10)-5)+(25-SUM(B3,B5,B7,B9,B11)))*2.5</f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F71D-02C6-474F-9CCF-D02EBC6D9059}">
  <dimension ref="A1:D11"/>
  <sheetViews>
    <sheetView workbookViewId="0">
      <selection activeCell="I13" sqref="I13"/>
    </sheetView>
  </sheetViews>
  <sheetFormatPr baseColWidth="10" defaultRowHeight="15" x14ac:dyDescent="0.25"/>
  <sheetData>
    <row r="1" spans="1:4" x14ac:dyDescent="0.25">
      <c r="A1" s="4" t="s">
        <v>14</v>
      </c>
      <c r="B1" s="4" t="s">
        <v>15</v>
      </c>
    </row>
    <row r="2" spans="1:4" x14ac:dyDescent="0.25">
      <c r="A2" s="4">
        <v>1</v>
      </c>
      <c r="B2" s="4">
        <v>4</v>
      </c>
    </row>
    <row r="3" spans="1:4" x14ac:dyDescent="0.25">
      <c r="A3" s="4">
        <v>2</v>
      </c>
      <c r="B3" s="4">
        <v>1</v>
      </c>
    </row>
    <row r="4" spans="1:4" x14ac:dyDescent="0.25">
      <c r="A4" s="4">
        <v>3</v>
      </c>
      <c r="B4" s="4">
        <v>3</v>
      </c>
    </row>
    <row r="5" spans="1:4" x14ac:dyDescent="0.25">
      <c r="A5" s="4">
        <v>4</v>
      </c>
      <c r="B5" s="4">
        <v>2</v>
      </c>
    </row>
    <row r="6" spans="1:4" x14ac:dyDescent="0.25">
      <c r="A6" s="4">
        <v>5</v>
      </c>
      <c r="B6" s="4">
        <v>5</v>
      </c>
    </row>
    <row r="7" spans="1:4" x14ac:dyDescent="0.25">
      <c r="A7" s="4">
        <v>6</v>
      </c>
      <c r="B7" s="4">
        <v>3</v>
      </c>
    </row>
    <row r="8" spans="1:4" x14ac:dyDescent="0.25">
      <c r="A8" s="4">
        <v>7</v>
      </c>
      <c r="B8" s="4">
        <v>4</v>
      </c>
    </row>
    <row r="9" spans="1:4" x14ac:dyDescent="0.25">
      <c r="A9" s="4">
        <v>8</v>
      </c>
      <c r="B9" s="4">
        <v>1</v>
      </c>
    </row>
    <row r="10" spans="1:4" x14ac:dyDescent="0.25">
      <c r="A10" s="4">
        <v>9</v>
      </c>
      <c r="B10" s="4">
        <v>4</v>
      </c>
    </row>
    <row r="11" spans="1:4" x14ac:dyDescent="0.25">
      <c r="A11" s="4">
        <v>10</v>
      </c>
      <c r="B11" s="4">
        <v>4</v>
      </c>
      <c r="C11" s="4" t="s">
        <v>16</v>
      </c>
      <c r="D11" s="5">
        <f>((SUM(B2,B4,B6,B8,B10)-5)+(25-SUM(B3,B5,B7,B9,B11)))*2.5</f>
        <v>72.5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A967E-C23B-4A76-B0D4-88EC1F85B745}">
  <dimension ref="A1:C7"/>
  <sheetViews>
    <sheetView workbookViewId="0">
      <selection activeCell="E13" sqref="E13"/>
    </sheetView>
  </sheetViews>
  <sheetFormatPr baseColWidth="10" defaultRowHeight="15" x14ac:dyDescent="0.25"/>
  <cols>
    <col min="1" max="1" width="24" customWidth="1"/>
    <col min="2" max="2" width="17.42578125" customWidth="1"/>
    <col min="3" max="3" width="22.42578125" customWidth="1"/>
  </cols>
  <sheetData>
    <row r="1" spans="1:3" ht="35.25" customHeight="1" thickBot="1" x14ac:dyDescent="0.3">
      <c r="A1" s="1" t="s">
        <v>0</v>
      </c>
      <c r="B1" s="1" t="s">
        <v>25</v>
      </c>
      <c r="C1" s="1" t="s">
        <v>24</v>
      </c>
    </row>
    <row r="2" spans="1:3" ht="15.75" thickBot="1" x14ac:dyDescent="0.3">
      <c r="A2" s="2" t="s">
        <v>23</v>
      </c>
      <c r="B2" s="6">
        <v>67.5</v>
      </c>
      <c r="C2" s="2" t="s">
        <v>19</v>
      </c>
    </row>
    <row r="3" spans="1:3" ht="15.75" thickBot="1" x14ac:dyDescent="0.3">
      <c r="A3" s="2" t="s">
        <v>2</v>
      </c>
      <c r="B3" s="6">
        <v>80</v>
      </c>
      <c r="C3" s="2" t="s">
        <v>21</v>
      </c>
    </row>
    <row r="4" spans="1:3" ht="15.75" customHeight="1" thickBot="1" x14ac:dyDescent="0.3">
      <c r="A4" s="2" t="s">
        <v>3</v>
      </c>
      <c r="B4" s="6">
        <v>70</v>
      </c>
      <c r="C4" s="2" t="s">
        <v>22</v>
      </c>
    </row>
    <row r="5" spans="1:3" ht="15.75" thickBot="1" x14ac:dyDescent="0.3">
      <c r="A5" s="2" t="s">
        <v>4</v>
      </c>
      <c r="B5" s="6">
        <v>65</v>
      </c>
      <c r="C5" s="2" t="s">
        <v>21</v>
      </c>
    </row>
    <row r="6" spans="1:3" ht="15.75" thickBot="1" x14ac:dyDescent="0.3">
      <c r="A6" s="2" t="s">
        <v>20</v>
      </c>
      <c r="B6" s="6">
        <v>81</v>
      </c>
      <c r="C6" s="2" t="s">
        <v>19</v>
      </c>
    </row>
    <row r="7" spans="1:3" ht="45.75" thickBot="1" x14ac:dyDescent="0.3">
      <c r="A7" s="1" t="s">
        <v>18</v>
      </c>
      <c r="B7" s="1">
        <f>AVERAGE(B2:B6)</f>
        <v>72.7</v>
      </c>
      <c r="C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Resultado logros</vt:lpstr>
      <vt:lpstr>SUS P1</vt:lpstr>
      <vt:lpstr>SUS P2</vt:lpstr>
      <vt:lpstr>SUS P3</vt:lpstr>
      <vt:lpstr>SUS P4</vt:lpstr>
      <vt:lpstr>SUS P5</vt:lpstr>
      <vt:lpstr>SUS Resultados finales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ALEJANDRO TAPIA CAIZA</dc:creator>
  <cp:lastModifiedBy>DANIEL ALEJANDRO TAPIA CAIZA</cp:lastModifiedBy>
  <dcterms:created xsi:type="dcterms:W3CDTF">2025-12-08T17:30:33Z</dcterms:created>
  <dcterms:modified xsi:type="dcterms:W3CDTF">2025-12-24T17:44:16Z</dcterms:modified>
</cp:coreProperties>
</file>